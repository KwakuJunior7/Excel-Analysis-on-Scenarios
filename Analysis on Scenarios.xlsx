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defaultThemeVersion="202300"/>
  <mc:AlternateContent xmlns:mc="http://schemas.openxmlformats.org/markup-compatibility/2006">
    <mc:Choice Requires="x15">
      <x15ac:absPath xmlns:x15ac="http://schemas.microsoft.com/office/spreadsheetml/2010/11/ac" url="C:\Users\KWAKU SAINT\Documents\"/>
    </mc:Choice>
  </mc:AlternateContent>
  <xr:revisionPtr revIDLastSave="0" documentId="13_ncr:1_{CB275489-9790-44C1-83AF-A209E9CB1614}" xr6:coauthVersionLast="47" xr6:coauthVersionMax="47" xr10:uidLastSave="{00000000-0000-0000-0000-000000000000}"/>
  <bookViews>
    <workbookView xWindow="-108" yWindow="-108" windowWidth="23256" windowHeight="12456" activeTab="9" xr2:uid="{01E8AC83-2EBF-4EFF-8ABF-E49E03F6EF2D}"/>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s>
  <definedNames>
    <definedName name="solver_adj" localSheetId="9" hidden="1">Sheet10!$B$5:$P$5</definedName>
    <definedName name="solver_adj" localSheetId="6" hidden="1">Sheet7!$B$2:$C$2</definedName>
    <definedName name="solver_adj" localSheetId="7" hidden="1">Sheet8!$B$2:$C$2</definedName>
    <definedName name="solver_adj" localSheetId="8" hidden="1">Sheet9!$B$2:$F$2</definedName>
    <definedName name="solver_cvg" localSheetId="9" hidden="1">0.0001</definedName>
    <definedName name="solver_cvg" localSheetId="6" hidden="1">0.0001</definedName>
    <definedName name="solver_cvg" localSheetId="7" hidden="1">0.0001</definedName>
    <definedName name="solver_cvg" localSheetId="8" hidden="1">0.0001</definedName>
    <definedName name="solver_drv" localSheetId="9" hidden="1">1</definedName>
    <definedName name="solver_drv" localSheetId="6" hidden="1">1</definedName>
    <definedName name="solver_drv" localSheetId="7" hidden="1">2</definedName>
    <definedName name="solver_drv" localSheetId="8" hidden="1">1</definedName>
    <definedName name="solver_eng" localSheetId="9" hidden="1">2</definedName>
    <definedName name="solver_eng" localSheetId="6" hidden="1">2</definedName>
    <definedName name="solver_eng" localSheetId="7" hidden="1">2</definedName>
    <definedName name="solver_eng" localSheetId="8" hidden="1">2</definedName>
    <definedName name="solver_est" localSheetId="9" hidden="1">1</definedName>
    <definedName name="solver_est" localSheetId="6" hidden="1">1</definedName>
    <definedName name="solver_est" localSheetId="7" hidden="1">1</definedName>
    <definedName name="solver_est" localSheetId="8" hidden="1">1</definedName>
    <definedName name="solver_itr" localSheetId="9" hidden="1">2147483647</definedName>
    <definedName name="solver_itr" localSheetId="6" hidden="1">2147483647</definedName>
    <definedName name="solver_itr" localSheetId="7" hidden="1">2147483647</definedName>
    <definedName name="solver_itr" localSheetId="8" hidden="1">2147483647</definedName>
    <definedName name="solver_lhs1" localSheetId="9" hidden="1">Sheet10!$Q$17:$Q$19</definedName>
    <definedName name="solver_lhs1" localSheetId="6" hidden="1">Sheet7!$D$10</definedName>
    <definedName name="solver_lhs1" localSheetId="7" hidden="1">Sheet8!$D$13:$D$16</definedName>
    <definedName name="solver_lhs1" localSheetId="8" hidden="1">Sheet9!$G$15</definedName>
    <definedName name="solver_lhs2" localSheetId="9" hidden="1">Sheet10!$Q$20:$Q$24</definedName>
    <definedName name="solver_lhs2" localSheetId="6" hidden="1">Sheet7!$D$11</definedName>
    <definedName name="solver_lhs2" localSheetId="8" hidden="1">Sheet9!$G$16:$G$17</definedName>
    <definedName name="solver_lhs3" localSheetId="6" hidden="1">Sheet7!$D$12</definedName>
    <definedName name="solver_lhs3" localSheetId="8" hidden="1">Sheet9!$G$18</definedName>
    <definedName name="solver_lhs4" localSheetId="6" hidden="1">Sheet7!$D$9</definedName>
    <definedName name="solver_mip" localSheetId="9" hidden="1">2147483647</definedName>
    <definedName name="solver_mip" localSheetId="6" hidden="1">2147483647</definedName>
    <definedName name="solver_mip" localSheetId="7" hidden="1">2147483647</definedName>
    <definedName name="solver_mip" localSheetId="8" hidden="1">2147483647</definedName>
    <definedName name="solver_mni" localSheetId="9" hidden="1">30</definedName>
    <definedName name="solver_mni" localSheetId="6" hidden="1">30</definedName>
    <definedName name="solver_mni" localSheetId="7" hidden="1">30</definedName>
    <definedName name="solver_mni" localSheetId="8" hidden="1">30</definedName>
    <definedName name="solver_mrt" localSheetId="9" hidden="1">0.075</definedName>
    <definedName name="solver_mrt" localSheetId="6" hidden="1">0.075</definedName>
    <definedName name="solver_mrt" localSheetId="7" hidden="1">0.075</definedName>
    <definedName name="solver_mrt" localSheetId="8" hidden="1">0.075</definedName>
    <definedName name="solver_msl" localSheetId="9" hidden="1">2</definedName>
    <definedName name="solver_msl" localSheetId="6" hidden="1">2</definedName>
    <definedName name="solver_msl" localSheetId="7" hidden="1">2</definedName>
    <definedName name="solver_msl" localSheetId="8" hidden="1">2</definedName>
    <definedName name="solver_neg" localSheetId="9" hidden="1">1</definedName>
    <definedName name="solver_neg" localSheetId="6" hidden="1">1</definedName>
    <definedName name="solver_neg" localSheetId="7" hidden="1">1</definedName>
    <definedName name="solver_neg" localSheetId="8" hidden="1">1</definedName>
    <definedName name="solver_nod" localSheetId="9" hidden="1">2147483647</definedName>
    <definedName name="solver_nod" localSheetId="6" hidden="1">2147483647</definedName>
    <definedName name="solver_nod" localSheetId="7" hidden="1">2147483647</definedName>
    <definedName name="solver_nod" localSheetId="8" hidden="1">2147483647</definedName>
    <definedName name="solver_num" localSheetId="9" hidden="1">2</definedName>
    <definedName name="solver_num" localSheetId="6" hidden="1">4</definedName>
    <definedName name="solver_num" localSheetId="7" hidden="1">1</definedName>
    <definedName name="solver_num" localSheetId="8" hidden="1">3</definedName>
    <definedName name="solver_nwt" localSheetId="9" hidden="1">1</definedName>
    <definedName name="solver_nwt" localSheetId="6" hidden="1">1</definedName>
    <definedName name="solver_nwt" localSheetId="7" hidden="1">1</definedName>
    <definedName name="solver_nwt" localSheetId="8" hidden="1">1</definedName>
    <definedName name="solver_opt" localSheetId="9" hidden="1">Sheet10!$B$9</definedName>
    <definedName name="solver_opt" localSheetId="6" hidden="1">Sheet7!$B$5</definedName>
    <definedName name="solver_opt" localSheetId="7" hidden="1">Sheet8!$D$10</definedName>
    <definedName name="solver_opt" localSheetId="8" hidden="1">Sheet9!$B$6</definedName>
    <definedName name="solver_pre" localSheetId="9" hidden="1">0.000001</definedName>
    <definedName name="solver_pre" localSheetId="6" hidden="1">0.000001</definedName>
    <definedName name="solver_pre" localSheetId="7" hidden="1">0.000001</definedName>
    <definedName name="solver_pre" localSheetId="8" hidden="1">0.000001</definedName>
    <definedName name="solver_rbv" localSheetId="9" hidden="1">1</definedName>
    <definedName name="solver_rbv" localSheetId="6" hidden="1">1</definedName>
    <definedName name="solver_rbv" localSheetId="7" hidden="1">2</definedName>
    <definedName name="solver_rbv" localSheetId="8" hidden="1">1</definedName>
    <definedName name="solver_rel1" localSheetId="9" hidden="1">1</definedName>
    <definedName name="solver_rel1" localSheetId="6" hidden="1">3</definedName>
    <definedName name="solver_rel1" localSheetId="7" hidden="1">1</definedName>
    <definedName name="solver_rel1" localSheetId="8" hidden="1">1</definedName>
    <definedName name="solver_rel2" localSheetId="9" hidden="1">2</definedName>
    <definedName name="solver_rel2" localSheetId="6" hidden="1">3</definedName>
    <definedName name="solver_rel2" localSheetId="8" hidden="1">3</definedName>
    <definedName name="solver_rel3" localSheetId="6" hidden="1">3</definedName>
    <definedName name="solver_rel3" localSheetId="8" hidden="1">1</definedName>
    <definedName name="solver_rel4" localSheetId="6" hidden="1">1</definedName>
    <definedName name="solver_rhs1" localSheetId="9" hidden="1">Sheet10!$S$17:$S$19</definedName>
    <definedName name="solver_rhs1" localSheetId="6" hidden="1">Sheet7!$F$10</definedName>
    <definedName name="solver_rhs1" localSheetId="7" hidden="1">Sheet8!$F$13:$F$16</definedName>
    <definedName name="solver_rhs1" localSheetId="8" hidden="1">Sheet9!$I$15</definedName>
    <definedName name="solver_rhs2" localSheetId="9" hidden="1">Sheet10!$S$20:$S$24</definedName>
    <definedName name="solver_rhs2" localSheetId="6" hidden="1">Sheet7!$F$11</definedName>
    <definedName name="solver_rhs2" localSheetId="8" hidden="1">Sheet9!$I$16:$I$17</definedName>
    <definedName name="solver_rhs3" localSheetId="6" hidden="1">Sheet7!$F$12</definedName>
    <definedName name="solver_rhs3" localSheetId="8" hidden="1">Sheet9!$I$18</definedName>
    <definedName name="solver_rhs4" localSheetId="6" hidden="1">Sheet7!$F$9</definedName>
    <definedName name="solver_rlx" localSheetId="9" hidden="1">2</definedName>
    <definedName name="solver_rlx" localSheetId="6" hidden="1">2</definedName>
    <definedName name="solver_rlx" localSheetId="7" hidden="1">2</definedName>
    <definedName name="solver_rlx" localSheetId="8" hidden="1">2</definedName>
    <definedName name="solver_rsd" localSheetId="9" hidden="1">0</definedName>
    <definedName name="solver_rsd" localSheetId="6" hidden="1">0</definedName>
    <definedName name="solver_rsd" localSheetId="7" hidden="1">0</definedName>
    <definedName name="solver_rsd" localSheetId="8" hidden="1">0</definedName>
    <definedName name="solver_scl" localSheetId="9" hidden="1">1</definedName>
    <definedName name="solver_scl" localSheetId="6" hidden="1">1</definedName>
    <definedName name="solver_scl" localSheetId="7" hidden="1">2</definedName>
    <definedName name="solver_scl" localSheetId="8" hidden="1">1</definedName>
    <definedName name="solver_sho" localSheetId="9" hidden="1">2</definedName>
    <definedName name="solver_sho" localSheetId="6" hidden="1">2</definedName>
    <definedName name="solver_sho" localSheetId="7" hidden="1">2</definedName>
    <definedName name="solver_sho" localSheetId="8" hidden="1">2</definedName>
    <definedName name="solver_ssz" localSheetId="9" hidden="1">100</definedName>
    <definedName name="solver_ssz" localSheetId="6" hidden="1">100</definedName>
    <definedName name="solver_ssz" localSheetId="7" hidden="1">100</definedName>
    <definedName name="solver_ssz" localSheetId="8" hidden="1">100</definedName>
    <definedName name="solver_tim" localSheetId="9" hidden="1">2147483647</definedName>
    <definedName name="solver_tim" localSheetId="6" hidden="1">2147483647</definedName>
    <definedName name="solver_tim" localSheetId="7" hidden="1">2147483647</definedName>
    <definedName name="solver_tim" localSheetId="8" hidden="1">2147483647</definedName>
    <definedName name="solver_tol" localSheetId="9" hidden="1">0.01</definedName>
    <definedName name="solver_tol" localSheetId="6" hidden="1">0.01</definedName>
    <definedName name="solver_tol" localSheetId="7" hidden="1">0.01</definedName>
    <definedName name="solver_tol" localSheetId="8" hidden="1">0.01</definedName>
    <definedName name="solver_typ" localSheetId="9" hidden="1">2</definedName>
    <definedName name="solver_typ" localSheetId="6" hidden="1">1</definedName>
    <definedName name="solver_typ" localSheetId="7" hidden="1">1</definedName>
    <definedName name="solver_typ" localSheetId="8" hidden="1">1</definedName>
    <definedName name="solver_val" localSheetId="9" hidden="1">0</definedName>
    <definedName name="solver_val" localSheetId="6" hidden="1">0</definedName>
    <definedName name="solver_val" localSheetId="7" hidden="1">0</definedName>
    <definedName name="solver_val" localSheetId="8" hidden="1">0</definedName>
    <definedName name="solver_ver" localSheetId="9" hidden="1">3</definedName>
    <definedName name="solver_ver" localSheetId="6" hidden="1">3</definedName>
    <definedName name="solver_ver" localSheetId="7" hidden="1">3</definedName>
    <definedName name="solver_ver" localSheetId="8"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0" i="10" l="1"/>
  <c r="Q21" i="10"/>
  <c r="Q22" i="10"/>
  <c r="Q23" i="10"/>
  <c r="Q24" i="10"/>
  <c r="Q18" i="10"/>
  <c r="Q19" i="10"/>
  <c r="Q17" i="10"/>
  <c r="B9" i="10"/>
  <c r="G16" i="9"/>
  <c r="G17" i="9"/>
  <c r="G18" i="9"/>
  <c r="I17" i="9"/>
  <c r="I16" i="9"/>
  <c r="G15" i="9"/>
  <c r="B6" i="9"/>
  <c r="D15" i="8"/>
  <c r="D16" i="8"/>
  <c r="D9" i="8"/>
  <c r="D8" i="8"/>
  <c r="D7" i="8"/>
  <c r="D5" i="8"/>
  <c r="D14" i="8"/>
  <c r="D13" i="8"/>
  <c r="D12" i="7"/>
  <c r="D10" i="7"/>
  <c r="D11" i="7"/>
  <c r="B5" i="7"/>
  <c r="D9" i="7"/>
  <c r="D6" i="8" l="1"/>
  <c r="D10" i="8" s="1"/>
  <c r="B13" i="6"/>
  <c r="B11" i="6"/>
  <c r="F12" i="6"/>
  <c r="F13" i="6" s="1"/>
  <c r="F14" i="6" s="1"/>
  <c r="F15" i="6" s="1"/>
  <c r="F16" i="6" s="1"/>
  <c r="F17" i="6" s="1"/>
  <c r="F18" i="6" s="1"/>
  <c r="F19" i="6" s="1"/>
  <c r="F20" i="6" s="1"/>
  <c r="F21" i="6" s="1"/>
  <c r="F22" i="6" s="1"/>
  <c r="F11" i="6"/>
  <c r="F5" i="6"/>
  <c r="F6" i="6" s="1"/>
  <c r="F7" i="6" s="1"/>
  <c r="F8" i="6" s="1"/>
  <c r="F9" i="6" s="1"/>
  <c r="F10" i="6" s="1"/>
  <c r="F4" i="6"/>
  <c r="F3" i="6"/>
  <c r="B38" i="5"/>
  <c r="B39" i="5" s="1"/>
  <c r="B42" i="5" s="1"/>
  <c r="H23" i="5"/>
  <c r="H26" i="5"/>
  <c r="H27" i="5"/>
  <c r="H30" i="5"/>
  <c r="H31" i="5"/>
  <c r="H22" i="5"/>
  <c r="H34" i="5" s="1"/>
  <c r="D23" i="5"/>
  <c r="D24" i="5"/>
  <c r="H24" i="5" s="1"/>
  <c r="D25" i="5"/>
  <c r="H25" i="5" s="1"/>
  <c r="D26" i="5"/>
  <c r="D27" i="5"/>
  <c r="D28" i="5"/>
  <c r="H28" i="5" s="1"/>
  <c r="D29" i="5"/>
  <c r="H29" i="5" s="1"/>
  <c r="D30" i="5"/>
  <c r="D31" i="5"/>
  <c r="D32" i="5"/>
  <c r="H32" i="5" s="1"/>
  <c r="D33" i="5"/>
  <c r="H33" i="5" s="1"/>
  <c r="D22" i="5"/>
  <c r="C23" i="5"/>
  <c r="G23" i="5" s="1"/>
  <c r="C24" i="5"/>
  <c r="G24" i="5" s="1"/>
  <c r="C25" i="5"/>
  <c r="G25" i="5" s="1"/>
  <c r="C26" i="5"/>
  <c r="G26" i="5" s="1"/>
  <c r="C27" i="5"/>
  <c r="G27" i="5" s="1"/>
  <c r="C28" i="5"/>
  <c r="G28" i="5" s="1"/>
  <c r="C29" i="5"/>
  <c r="G29" i="5" s="1"/>
  <c r="C30" i="5"/>
  <c r="G30" i="5" s="1"/>
  <c r="C31" i="5"/>
  <c r="G31" i="5" s="1"/>
  <c r="C32" i="5"/>
  <c r="G32" i="5" s="1"/>
  <c r="C33" i="5"/>
  <c r="G33" i="5" s="1"/>
  <c r="C22" i="5"/>
  <c r="G22" i="5" s="1"/>
  <c r="B23" i="5"/>
  <c r="F23" i="5" s="1"/>
  <c r="B24" i="5"/>
  <c r="F24" i="5" s="1"/>
  <c r="B25" i="5"/>
  <c r="F25" i="5" s="1"/>
  <c r="B26" i="5"/>
  <c r="F26" i="5" s="1"/>
  <c r="B27" i="5"/>
  <c r="F27" i="5" s="1"/>
  <c r="B28" i="5"/>
  <c r="F28" i="5" s="1"/>
  <c r="B29" i="5"/>
  <c r="F29" i="5" s="1"/>
  <c r="B30" i="5"/>
  <c r="F30" i="5" s="1"/>
  <c r="B31" i="5"/>
  <c r="F31" i="5" s="1"/>
  <c r="B32" i="5"/>
  <c r="F32" i="5" s="1"/>
  <c r="B33" i="5"/>
  <c r="F33" i="5" s="1"/>
  <c r="B22" i="5"/>
  <c r="F22" i="5" s="1"/>
  <c r="K26" i="4"/>
  <c r="D15" i="4"/>
  <c r="D18" i="4" s="1"/>
  <c r="C26" i="4"/>
  <c r="B15" i="4"/>
  <c r="B19" i="4" s="1"/>
  <c r="B19" i="3"/>
  <c r="C19" i="3"/>
  <c r="D19" i="3"/>
  <c r="E19" i="3"/>
  <c r="F19" i="3"/>
  <c r="B20" i="3"/>
  <c r="C20" i="3"/>
  <c r="D20" i="3"/>
  <c r="E20" i="3" s="1"/>
  <c r="B21" i="3"/>
  <c r="B22" i="3" s="1"/>
  <c r="C21" i="3"/>
  <c r="C22" i="3" s="1"/>
  <c r="D18" i="3"/>
  <c r="C18" i="3"/>
  <c r="B18" i="3"/>
  <c r="F17" i="3"/>
  <c r="E17" i="3"/>
  <c r="D17" i="3"/>
  <c r="C17" i="3"/>
  <c r="B17" i="3"/>
  <c r="C10" i="3"/>
  <c r="C12" i="3" s="1"/>
  <c r="B10" i="3"/>
  <c r="C6" i="3"/>
  <c r="B6" i="3"/>
  <c r="B16" i="2"/>
  <c r="B14" i="2"/>
  <c r="B17" i="2" s="1"/>
  <c r="B13" i="2"/>
  <c r="B19" i="1"/>
  <c r="B18" i="1"/>
  <c r="B12" i="1"/>
  <c r="B9" i="1"/>
  <c r="B5" i="1"/>
  <c r="C16" i="2"/>
  <c r="C17" i="2"/>
  <c r="C18" i="2"/>
  <c r="C14" i="2"/>
  <c r="C5" i="1"/>
  <c r="C13" i="2"/>
  <c r="F34" i="5" l="1"/>
  <c r="G34" i="5"/>
  <c r="B41" i="5"/>
  <c r="B43" i="5" s="1"/>
  <c r="J46" i="5" s="1"/>
  <c r="B11" i="4"/>
  <c r="D20" i="4" s="1"/>
  <c r="F21" i="3"/>
  <c r="E21" i="3"/>
  <c r="F20" i="3"/>
  <c r="D21" i="3"/>
  <c r="D22" i="3" s="1"/>
  <c r="F22" i="3" s="1"/>
  <c r="E18" i="3"/>
  <c r="F18" i="3"/>
  <c r="B12" i="3"/>
  <c r="B18" i="2"/>
  <c r="G37" i="5" l="1"/>
  <c r="B20" i="4"/>
  <c r="E22" i="3"/>
  <c r="F5" i="4" l="1"/>
  <c r="F19" i="4"/>
</calcChain>
</file>

<file path=xl/sharedStrings.xml><?xml version="1.0" encoding="utf-8"?>
<sst xmlns="http://schemas.openxmlformats.org/spreadsheetml/2006/main" count="248" uniqueCount="193">
  <si>
    <t>budget</t>
  </si>
  <si>
    <t>income:</t>
  </si>
  <si>
    <t>salary:</t>
  </si>
  <si>
    <t>taxes(22%):</t>
  </si>
  <si>
    <t>medical</t>
  </si>
  <si>
    <t>dental:</t>
  </si>
  <si>
    <t>retirement:</t>
  </si>
  <si>
    <t>net income:</t>
  </si>
  <si>
    <t>expenses:</t>
  </si>
  <si>
    <t>rent</t>
  </si>
  <si>
    <t>food:</t>
  </si>
  <si>
    <t>car</t>
  </si>
  <si>
    <t>travel</t>
  </si>
  <si>
    <t>misc</t>
  </si>
  <si>
    <t>savings</t>
  </si>
  <si>
    <t>total exp</t>
  </si>
  <si>
    <t>net saving:</t>
  </si>
  <si>
    <t xml:space="preserve"> </t>
  </si>
  <si>
    <t>NCAA SHIRT VENDOR</t>
  </si>
  <si>
    <t>Givens:</t>
  </si>
  <si>
    <t>Costs:</t>
  </si>
  <si>
    <t>Fixed:</t>
  </si>
  <si>
    <t>Variable:</t>
  </si>
  <si>
    <t>per shirt</t>
  </si>
  <si>
    <t>No of shirts ordered:</t>
  </si>
  <si>
    <t>Total cost:</t>
  </si>
  <si>
    <t>revenue</t>
  </si>
  <si>
    <t>Full price:</t>
  </si>
  <si>
    <t>reduce price:</t>
  </si>
  <si>
    <t>No. of Shirts sold:(FP)</t>
  </si>
  <si>
    <t>No. of Shirts sold:(RP)</t>
  </si>
  <si>
    <t>Total Revenue:</t>
  </si>
  <si>
    <t>Total Profit:</t>
  </si>
  <si>
    <t>Demand:</t>
  </si>
  <si>
    <t>woodworks bookshelf Co.</t>
  </si>
  <si>
    <t>Cherry</t>
  </si>
  <si>
    <t>Oak</t>
  </si>
  <si>
    <t>unit Cost:</t>
  </si>
  <si>
    <t>Board feet:</t>
  </si>
  <si>
    <t>materials cost:</t>
  </si>
  <si>
    <t>labor req'd</t>
  </si>
  <si>
    <t>labor rate</t>
  </si>
  <si>
    <t>labor cost:</t>
  </si>
  <si>
    <t>Cost ncreases:</t>
  </si>
  <si>
    <t>Year</t>
  </si>
  <si>
    <t>Labor</t>
  </si>
  <si>
    <t>Total Cherry</t>
  </si>
  <si>
    <t>Total Oak</t>
  </si>
  <si>
    <t>Quality Sweater  Company</t>
  </si>
  <si>
    <t>inputs:</t>
  </si>
  <si>
    <t>Printing:</t>
  </si>
  <si>
    <t>Mailing:</t>
  </si>
  <si>
    <t>per catalog</t>
  </si>
  <si>
    <t>reply envelopes</t>
  </si>
  <si>
    <t>per order</t>
  </si>
  <si>
    <t>revenue:</t>
  </si>
  <si>
    <t>average customer Order</t>
  </si>
  <si>
    <t>labour and material:</t>
  </si>
  <si>
    <t>cataog oerdered:</t>
  </si>
  <si>
    <t>response rate:</t>
  </si>
  <si>
    <t>dummy value</t>
  </si>
  <si>
    <t>total orders":</t>
  </si>
  <si>
    <t>total revenue:</t>
  </si>
  <si>
    <t>total cost:</t>
  </si>
  <si>
    <t>total profit:</t>
  </si>
  <si>
    <t>a)data table</t>
  </si>
  <si>
    <t>response rate</t>
  </si>
  <si>
    <t>profit</t>
  </si>
  <si>
    <t>Month</t>
  </si>
  <si>
    <t>Price</t>
  </si>
  <si>
    <t>Demand (00s)</t>
  </si>
  <si>
    <t>linear</t>
  </si>
  <si>
    <t>intercept(b)</t>
  </si>
  <si>
    <t>slope(m)</t>
  </si>
  <si>
    <t>power=y =ax^b</t>
  </si>
  <si>
    <t>constant a:</t>
  </si>
  <si>
    <t>exponent b:</t>
  </si>
  <si>
    <t>exponential y=ae^(bx)</t>
  </si>
  <si>
    <t>prediction base on models</t>
  </si>
  <si>
    <t xml:space="preserve">power </t>
  </si>
  <si>
    <t>exponential</t>
  </si>
  <si>
    <t>linear=mx+b</t>
  </si>
  <si>
    <t>absolute percent error</t>
  </si>
  <si>
    <t>business model</t>
  </si>
  <si>
    <t>unit cost:</t>
  </si>
  <si>
    <t>per set of club</t>
  </si>
  <si>
    <t>sales price:</t>
  </si>
  <si>
    <t>multiple of 10</t>
  </si>
  <si>
    <t>demand:</t>
  </si>
  <si>
    <t>actual demand(00):</t>
  </si>
  <si>
    <t>cost:</t>
  </si>
  <si>
    <t>profit:</t>
  </si>
  <si>
    <t>price</t>
  </si>
  <si>
    <t>gopher drugs:</t>
  </si>
  <si>
    <t>development cost:</t>
  </si>
  <si>
    <t>useful life :</t>
  </si>
  <si>
    <t>year 1 margin:</t>
  </si>
  <si>
    <t>mil</t>
  </si>
  <si>
    <t>years</t>
  </si>
  <si>
    <t>inc through year:</t>
  </si>
  <si>
    <t xml:space="preserve">rate of increase </t>
  </si>
  <si>
    <t>rate of decrease</t>
  </si>
  <si>
    <t>discount rate :</t>
  </si>
  <si>
    <t>cashflow:</t>
  </si>
  <si>
    <t>end of year</t>
  </si>
  <si>
    <t>gross margin ($M)</t>
  </si>
  <si>
    <t>net present value:</t>
  </si>
  <si>
    <t>net present vale:</t>
  </si>
  <si>
    <t>variables:</t>
  </si>
  <si>
    <t>No. radio ads</t>
  </si>
  <si>
    <t>No. Tele ads</t>
  </si>
  <si>
    <t>objective(max):</t>
  </si>
  <si>
    <t>constraint table:</t>
  </si>
  <si>
    <t>budget:</t>
  </si>
  <si>
    <t>LHS</t>
  </si>
  <si>
    <t>RHS</t>
  </si>
  <si>
    <t>SIGN</t>
  </si>
  <si>
    <t>&lt;=</t>
  </si>
  <si>
    <t>co-eff</t>
  </si>
  <si>
    <t>No. of ppl reach:</t>
  </si>
  <si>
    <t>at least 10 radio</t>
  </si>
  <si>
    <t>at least 10 tv</t>
  </si>
  <si>
    <t>&gt;=</t>
  </si>
  <si>
    <t>R&gt;=T</t>
  </si>
  <si>
    <t>variables</t>
  </si>
  <si>
    <t>constraints</t>
  </si>
  <si>
    <t>basic</t>
  </si>
  <si>
    <t>xp</t>
  </si>
  <si>
    <t>at least 600</t>
  </si>
  <si>
    <t>at least 1200</t>
  </si>
  <si>
    <t>objective(max)</t>
  </si>
  <si>
    <t>cost</t>
  </si>
  <si>
    <t xml:space="preserve">parts </t>
  </si>
  <si>
    <t>assembling</t>
  </si>
  <si>
    <t>testing</t>
  </si>
  <si>
    <t>labor/asemb</t>
  </si>
  <si>
    <t>labor/testing</t>
  </si>
  <si>
    <t>assemb</t>
  </si>
  <si>
    <t>Investment</t>
  </si>
  <si>
    <t>Rate of Return (%)</t>
  </si>
  <si>
    <t>L.A. Municipal Bond</t>
  </si>
  <si>
    <t>Thompson Electronics, Inc.</t>
  </si>
  <si>
    <t>United Aerospace Corp.</t>
  </si>
  <si>
    <t>Palmer Technologies</t>
  </si>
  <si>
    <t>HDN Stock (high risk)</t>
  </si>
  <si>
    <t>rate of return:</t>
  </si>
  <si>
    <t>objective (max):</t>
  </si>
  <si>
    <t>constraints:</t>
  </si>
  <si>
    <t>X1</t>
  </si>
  <si>
    <t>X2</t>
  </si>
  <si>
    <t>X3</t>
  </si>
  <si>
    <t>X4</t>
  </si>
  <si>
    <t>X5</t>
  </si>
  <si>
    <t>municipal 20% at least</t>
  </si>
  <si>
    <t>tech 40% at least</t>
  </si>
  <si>
    <t>no more 50% in high risk</t>
  </si>
  <si>
    <t>Sector</t>
  </si>
  <si>
    <t>Distance to Kyoko HS (in Sector B)</t>
  </si>
  <si>
    <t>Distance to Devon HS (in Sector C)</t>
  </si>
  <si>
    <t>Distance to Manny HS (in Sector E)</t>
  </si>
  <si>
    <t>Number of Students</t>
  </si>
  <si>
    <t>A</t>
  </si>
  <si>
    <t>B</t>
  </si>
  <si>
    <t>C</t>
  </si>
  <si>
    <t>D</t>
  </si>
  <si>
    <t>E</t>
  </si>
  <si>
    <t>AB</t>
  </si>
  <si>
    <t>AC</t>
  </si>
  <si>
    <t>AE</t>
  </si>
  <si>
    <t>BB</t>
  </si>
  <si>
    <t>BC</t>
  </si>
  <si>
    <t>BE</t>
  </si>
  <si>
    <t>CB</t>
  </si>
  <si>
    <t>CC</t>
  </si>
  <si>
    <t>CE</t>
  </si>
  <si>
    <t>DB</t>
  </si>
  <si>
    <t>DC</t>
  </si>
  <si>
    <t>DE</t>
  </si>
  <si>
    <t>EB</t>
  </si>
  <si>
    <t>EC</t>
  </si>
  <si>
    <t>EE</t>
  </si>
  <si>
    <t>objective(min)</t>
  </si>
  <si>
    <t>student bus miles:</t>
  </si>
  <si>
    <t>sign</t>
  </si>
  <si>
    <t>900 in sch B</t>
  </si>
  <si>
    <t>900 in sch C</t>
  </si>
  <si>
    <t>900 in sch E</t>
  </si>
  <si>
    <t>700 in  A</t>
  </si>
  <si>
    <t>500 in B</t>
  </si>
  <si>
    <t>100 in C</t>
  </si>
  <si>
    <t>800 in D</t>
  </si>
  <si>
    <t>400 in 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</si>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</sst>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43" formatCode="_(* #,##0.00_);_(* \(#,##0.00\);_(* &quot;-&quot;??_);_(@_)"/>
    <numFmt numFmtId="164" formatCode="_([$$-409]* #,##0_);_([$$-409]* \(#,##0\);_([$$-409]* &quot;-&quot;??_);_(@_)"/>
    <numFmt numFmtId="165" formatCode="_(&quot;$&quot;* #,##0_);_(&quot;$&quot;* \(#,##0\);_(&quot;$&quot;* &quot;-&quot;??_);_(@_)"/>
    <numFmt numFmtId="166" formatCode="_(* #,##0_);_(* \(#,##0\);_(* &quot;-&quot;??_);_(@_)"/>
    <numFmt numFmtId="167" formatCode="0.0"/>
    <numFmt numFmtId="168" formatCode="0.0%"/>
    <numFmt numFmtId="169" formatCode="&quot;$&quot;#,##0"/>
    <numFmt numFmtId="170" formatCode="&quot;$&quot;#,##0.00"/>
  </numFmts>
  <fonts count="7">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8"/>
      <color rgb="FF1F1F1F"/>
      <name val="Var(--cds-font-family-source-sa"/>
    </font>
    <font>
      <sz val="8"/>
      <color rgb="FF1F1F1F"/>
      <name val="Var(--cds-font-family-source-sa"/>
    </font>
  </fonts>
  <fills count="7">
    <fill>
      <patternFill patternType="none"/>
    </fill>
    <fill>
      <patternFill patternType="gray125"/>
    </fill>
    <fill>
      <patternFill patternType="solid">
        <fgColor rgb="FFA5A5A5"/>
      </patternFill>
    </fill>
    <fill>
      <patternFill patternType="solid">
        <fgColor theme="4"/>
      </patternFill>
    </fill>
    <fill>
      <patternFill patternType="solid">
        <fgColor theme="5"/>
        <bgColor indexed="64"/>
      </patternFill>
    </fill>
    <fill>
      <patternFill patternType="solid">
        <fgColor theme="2"/>
        <bgColor indexed="64"/>
      </patternFill>
    </fill>
    <fill>
      <patternFill patternType="solid">
        <fgColor rgb="FFFFFFFF"/>
        <bgColor indexed="64"/>
      </patternFill>
    </fill>
  </fills>
  <borders count="5">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2" borderId="1" applyNumberFormat="0" applyAlignment="0" applyProtection="0"/>
    <xf numFmtId="0" fontId="4" fillId="3" borderId="0" applyNumberFormat="0" applyBorder="0" applyAlignment="0" applyProtection="0"/>
    <xf numFmtId="9" fontId="1" fillId="0" borderId="0" applyFont="0" applyFill="0" applyBorder="0" applyAlignment="0" applyProtection="0"/>
  </cellStyleXfs>
  <cellXfs count="42">
    <xf numFmtId="0" fontId="0" fillId="0" borderId="0" xfId="0"/>
    <xf numFmtId="164" fontId="0" fillId="0" borderId="0" xfId="0" applyNumberFormat="1"/>
    <xf numFmtId="44" fontId="0" fillId="0" borderId="0" xfId="2" applyFont="1"/>
    <xf numFmtId="0" fontId="3" fillId="0" borderId="0" xfId="0" applyFont="1"/>
    <xf numFmtId="0" fontId="0" fillId="0" borderId="0" xfId="0" applyAlignment="1">
      <alignment horizontal="right"/>
    </xf>
    <xf numFmtId="0" fontId="3" fillId="0" borderId="0" xfId="0" applyFont="1" applyAlignment="1">
      <alignment horizontal="right"/>
    </xf>
    <xf numFmtId="0" fontId="3" fillId="0" borderId="0" xfId="0" applyFont="1" applyAlignment="1">
      <alignment horizontal="left"/>
    </xf>
    <xf numFmtId="165" fontId="0" fillId="0" borderId="0" xfId="2" applyNumberFormat="1" applyFont="1"/>
    <xf numFmtId="165" fontId="3" fillId="0" borderId="0" xfId="0" applyNumberFormat="1" applyFont="1"/>
    <xf numFmtId="165" fontId="0" fillId="0" borderId="0" xfId="0" applyNumberFormat="1"/>
    <xf numFmtId="165" fontId="3" fillId="0" borderId="0" xfId="0" applyNumberFormat="1" applyFont="1" applyAlignment="1">
      <alignment horizontal="left"/>
    </xf>
    <xf numFmtId="0" fontId="0" fillId="4" borderId="0" xfId="0" applyFill="1"/>
    <xf numFmtId="44" fontId="0" fillId="0" borderId="0" xfId="0" applyNumberFormat="1"/>
    <xf numFmtId="0" fontId="0" fillId="0" borderId="2" xfId="0" applyBorder="1"/>
    <xf numFmtId="44" fontId="0" fillId="0" borderId="2" xfId="0" applyNumberFormat="1" applyBorder="1"/>
    <xf numFmtId="10" fontId="0" fillId="4" borderId="0" xfId="0" applyNumberFormat="1" applyFill="1"/>
    <xf numFmtId="166" fontId="0" fillId="0" borderId="0" xfId="1" applyNumberFormat="1" applyFont="1"/>
    <xf numFmtId="166" fontId="0" fillId="0" borderId="0" xfId="0" applyNumberFormat="1"/>
    <xf numFmtId="9" fontId="0" fillId="4" borderId="0" xfId="0" applyNumberFormat="1" applyFill="1"/>
    <xf numFmtId="44" fontId="0" fillId="5" borderId="0" xfId="0" applyNumberFormat="1" applyFill="1"/>
    <xf numFmtId="0" fontId="0" fillId="0" borderId="0" xfId="0" applyAlignment="1">
      <alignment horizontal="center"/>
    </xf>
    <xf numFmtId="9" fontId="0" fillId="0" borderId="0" xfId="0" applyNumberFormat="1"/>
    <xf numFmtId="9" fontId="0" fillId="0" borderId="0" xfId="5" applyFont="1"/>
    <xf numFmtId="0" fontId="5" fillId="6" borderId="0" xfId="0" applyFont="1" applyFill="1" applyAlignment="1">
      <alignment horizontal="left" vertical="center" wrapText="1"/>
    </xf>
    <xf numFmtId="0" fontId="6" fillId="6" borderId="0" xfId="0" applyFont="1" applyFill="1" applyAlignment="1">
      <alignment horizontal="left" vertical="center" wrapText="1"/>
    </xf>
    <xf numFmtId="0" fontId="0" fillId="6" borderId="0" xfId="0" applyFill="1" applyAlignment="1">
      <alignment horizontal="left"/>
    </xf>
    <xf numFmtId="167" fontId="0" fillId="0" borderId="0" xfId="0" applyNumberFormat="1"/>
    <xf numFmtId="1" fontId="0" fillId="0" borderId="0" xfId="0" applyNumberFormat="1"/>
    <xf numFmtId="1" fontId="0" fillId="0" borderId="2" xfId="0" applyNumberFormat="1" applyBorder="1"/>
    <xf numFmtId="168" fontId="0" fillId="0" borderId="0" xfId="5" applyNumberFormat="1" applyFont="1"/>
    <xf numFmtId="168" fontId="0" fillId="0" borderId="0" xfId="0" applyNumberFormat="1"/>
    <xf numFmtId="0" fontId="0" fillId="5" borderId="0" xfId="0" applyFill="1"/>
    <xf numFmtId="169" fontId="0" fillId="0" borderId="0" xfId="0" applyNumberFormat="1"/>
    <xf numFmtId="170" fontId="0" fillId="0" borderId="0" xfId="2" applyNumberFormat="1" applyFont="1"/>
    <xf numFmtId="8" fontId="0" fillId="0" borderId="0" xfId="0" applyNumberFormat="1"/>
    <xf numFmtId="0" fontId="0" fillId="0" borderId="2" xfId="0" applyBorder="1" applyAlignment="1">
      <alignment horizontal="center"/>
    </xf>
    <xf numFmtId="0" fontId="4" fillId="3" borderId="0" xfId="4" applyAlignment="1">
      <alignment horizontal="center"/>
    </xf>
    <xf numFmtId="0" fontId="0" fillId="0" borderId="0" xfId="0" applyAlignment="1">
      <alignment horizontal="center"/>
    </xf>
    <xf numFmtId="0" fontId="2" fillId="2" borderId="1" xfId="3" applyAlignment="1">
      <alignment horizontal="center"/>
    </xf>
    <xf numFmtId="0" fontId="0" fillId="0" borderId="3" xfId="0" applyBorder="1" applyAlignment="1">
      <alignment horizontal="center"/>
    </xf>
    <xf numFmtId="0" fontId="0" fillId="0" borderId="4" xfId="0" applyBorder="1" applyAlignment="1">
      <alignment horizontal="center"/>
    </xf>
    <xf numFmtId="10" fontId="0" fillId="0" borderId="0" xfId="0" applyNumberFormat="1"/>
  </cellXfs>
  <cellStyles count="6">
    <cellStyle name="Accent1" xfId="4" builtinId="29"/>
    <cellStyle name="Check Cell" xfId="3" builtinId="23"/>
    <cellStyle name="Comma" xfId="1" builtinId="3"/>
    <cellStyle name="Currency" xfId="2" builtinId="4"/>
    <cellStyle name="Normal" xfId="0" builtinId="0"/>
    <cellStyle name="Percent" xfId="5" builtinId="5"/>
  </cellStyles>
  <dxfs count="7">
    <dxf>
      <font>
        <color rgb="FF9C0006"/>
      </font>
      <fill>
        <patternFill>
          <bgColor rgb="FFFFC7CE"/>
        </patternFill>
      </fill>
    </dxf>
    <dxf>
      <font>
        <color rgb="FF9C5700"/>
      </font>
      <fill>
        <patternFill>
          <bgColor rgb="FFFFEB9C"/>
        </patternFill>
      </fill>
    </dxf>
    <dxf>
      <font>
        <b val="0"/>
        <i val="0"/>
        <strike val="0"/>
        <condense val="0"/>
        <extend val="0"/>
        <outline val="0"/>
        <shadow val="0"/>
        <u val="none"/>
        <vertAlign val="baseline"/>
        <sz val="8"/>
        <color rgb="FF1F1F1F"/>
        <name val="Var(--cds-font-family-source-sa"/>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8"/>
        <color rgb="FF1F1F1F"/>
        <name val="Var(--cds-font-family-source-sa"/>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8"/>
        <color rgb="FF1F1F1F"/>
        <name val="Var(--cds-font-family-source-sa"/>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8"/>
        <color rgb="FF1F1F1F"/>
        <name val="Var(--cds-font-family-source-sa"/>
        <scheme val="none"/>
      </font>
      <fill>
        <patternFill patternType="solid">
          <fgColor indexed="64"/>
          <bgColor rgb="FFFFFFFF"/>
        </patternFill>
      </fill>
      <alignment horizontal="left" vertical="center" textRotation="0" wrapText="1" indent="0" justifyLastLine="0" shrinkToFit="0" readingOrder="0"/>
    </dxf>
    <dxf>
      <font>
        <b/>
        <i val="0"/>
        <strike val="0"/>
        <condense val="0"/>
        <extend val="0"/>
        <outline val="0"/>
        <shadow val="0"/>
        <u val="none"/>
        <vertAlign val="baseline"/>
        <sz val="8"/>
        <color rgb="FF1F1F1F"/>
        <name val="Var(--cds-font-family-source-sa"/>
        <scheme val="none"/>
      </font>
      <fill>
        <patternFill patternType="solid">
          <fgColor indexed="64"/>
          <bgColor rgb="FFFFFFFF"/>
        </patternFill>
      </fill>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woodwork</a:t>
            </a:r>
            <a:r>
              <a:rPr lang="en-US" baseline="0"/>
              <a:t> bookshelf com.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023403324584425"/>
          <c:y val="0.12078703703703704"/>
          <c:w val="0.771988188976378"/>
          <c:h val="0.64681284631087776"/>
        </c:manualLayout>
      </c:layout>
      <c:barChart>
        <c:barDir val="col"/>
        <c:grouping val="clustered"/>
        <c:varyColors val="0"/>
        <c:ser>
          <c:idx val="0"/>
          <c:order val="0"/>
          <c:tx>
            <c:strRef>
              <c:f>Sheet3!$B$16</c:f>
              <c:strCache>
                <c:ptCount val="1"/>
                <c:pt idx="0">
                  <c:v>Cherry</c:v>
                </c:pt>
              </c:strCache>
            </c:strRef>
          </c:tx>
          <c:spPr>
            <a:solidFill>
              <a:schemeClr val="accent1"/>
            </a:solidFill>
            <a:ln>
              <a:noFill/>
            </a:ln>
            <a:effectLst/>
          </c:spPr>
          <c:invertIfNegative val="0"/>
          <c:cat>
            <c:numRef>
              <c:f>Sheet3!$A$17:$A$22</c:f>
              <c:numCache>
                <c:formatCode>General</c:formatCode>
                <c:ptCount val="6"/>
                <c:pt idx="0">
                  <c:v>0</c:v>
                </c:pt>
                <c:pt idx="1">
                  <c:v>1</c:v>
                </c:pt>
                <c:pt idx="2">
                  <c:v>2</c:v>
                </c:pt>
                <c:pt idx="3">
                  <c:v>3</c:v>
                </c:pt>
                <c:pt idx="4">
                  <c:v>4</c:v>
                </c:pt>
                <c:pt idx="5">
                  <c:v>5</c:v>
                </c:pt>
              </c:numCache>
            </c:numRef>
          </c:cat>
          <c:val>
            <c:numRef>
              <c:f>Sheet3!$B$17:$B$22</c:f>
              <c:numCache>
                <c:formatCode>_("$"* #,##0.00_);_("$"* \(#,##0.00\);_("$"* "-"??_);_(@_)</c:formatCode>
                <c:ptCount val="6"/>
                <c:pt idx="0">
                  <c:v>165</c:v>
                </c:pt>
                <c:pt idx="1">
                  <c:v>168.96</c:v>
                </c:pt>
                <c:pt idx="2">
                  <c:v>173.01504</c:v>
                </c:pt>
                <c:pt idx="3">
                  <c:v>177.16740096000001</c:v>
                </c:pt>
                <c:pt idx="4">
                  <c:v>181.41941858304003</c:v>
                </c:pt>
                <c:pt idx="5">
                  <c:v>185.77348462903299</c:v>
                </c:pt>
              </c:numCache>
            </c:numRef>
          </c:val>
          <c:extLst>
            <c:ext xmlns:c16="http://schemas.microsoft.com/office/drawing/2014/chart" uri="{C3380CC4-5D6E-409C-BE32-E72D297353CC}">
              <c16:uniqueId val="{00000000-9112-4EF6-97AB-CC0685E6B80F}"/>
            </c:ext>
          </c:extLst>
        </c:ser>
        <c:ser>
          <c:idx val="1"/>
          <c:order val="1"/>
          <c:tx>
            <c:strRef>
              <c:f>Sheet3!$C$16</c:f>
              <c:strCache>
                <c:ptCount val="1"/>
                <c:pt idx="0">
                  <c:v>Oak</c:v>
                </c:pt>
              </c:strCache>
            </c:strRef>
          </c:tx>
          <c:spPr>
            <a:solidFill>
              <a:schemeClr val="accent2"/>
            </a:solidFill>
            <a:ln>
              <a:noFill/>
            </a:ln>
            <a:effectLst/>
          </c:spPr>
          <c:invertIfNegative val="0"/>
          <c:cat>
            <c:numRef>
              <c:f>Sheet3!$A$17:$A$22</c:f>
              <c:numCache>
                <c:formatCode>General</c:formatCode>
                <c:ptCount val="6"/>
                <c:pt idx="0">
                  <c:v>0</c:v>
                </c:pt>
                <c:pt idx="1">
                  <c:v>1</c:v>
                </c:pt>
                <c:pt idx="2">
                  <c:v>2</c:v>
                </c:pt>
                <c:pt idx="3">
                  <c:v>3</c:v>
                </c:pt>
                <c:pt idx="4">
                  <c:v>4</c:v>
                </c:pt>
                <c:pt idx="5">
                  <c:v>5</c:v>
                </c:pt>
              </c:numCache>
            </c:numRef>
          </c:cat>
          <c:val>
            <c:numRef>
              <c:f>Sheet3!$C$17:$C$22</c:f>
              <c:numCache>
                <c:formatCode>_("$"* #,##0.00_);_("$"* \(#,##0.00\);_("$"* "-"??_);_(@_)</c:formatCode>
                <c:ptCount val="6"/>
                <c:pt idx="0">
                  <c:v>129</c:v>
                </c:pt>
                <c:pt idx="1">
                  <c:v>131.19299999999998</c:v>
                </c:pt>
                <c:pt idx="2">
                  <c:v>133.42328099999997</c:v>
                </c:pt>
                <c:pt idx="3">
                  <c:v>135.69147677699996</c:v>
                </c:pt>
                <c:pt idx="4">
                  <c:v>137.99823188220896</c:v>
                </c:pt>
                <c:pt idx="5">
                  <c:v>140.34420182420649</c:v>
                </c:pt>
              </c:numCache>
            </c:numRef>
          </c:val>
          <c:extLst>
            <c:ext xmlns:c16="http://schemas.microsoft.com/office/drawing/2014/chart" uri="{C3380CC4-5D6E-409C-BE32-E72D297353CC}">
              <c16:uniqueId val="{00000001-9112-4EF6-97AB-CC0685E6B80F}"/>
            </c:ext>
          </c:extLst>
        </c:ser>
        <c:ser>
          <c:idx val="2"/>
          <c:order val="2"/>
          <c:tx>
            <c:strRef>
              <c:f>Sheet3!$D$16</c:f>
              <c:strCache>
                <c:ptCount val="1"/>
                <c:pt idx="0">
                  <c:v>Labor</c:v>
                </c:pt>
              </c:strCache>
            </c:strRef>
          </c:tx>
          <c:spPr>
            <a:solidFill>
              <a:schemeClr val="accent3"/>
            </a:solidFill>
            <a:ln>
              <a:noFill/>
            </a:ln>
            <a:effectLst/>
          </c:spPr>
          <c:invertIfNegative val="0"/>
          <c:cat>
            <c:numRef>
              <c:f>Sheet3!$A$17:$A$22</c:f>
              <c:numCache>
                <c:formatCode>General</c:formatCode>
                <c:ptCount val="6"/>
                <c:pt idx="0">
                  <c:v>0</c:v>
                </c:pt>
                <c:pt idx="1">
                  <c:v>1</c:v>
                </c:pt>
                <c:pt idx="2">
                  <c:v>2</c:v>
                </c:pt>
                <c:pt idx="3">
                  <c:v>3</c:v>
                </c:pt>
                <c:pt idx="4">
                  <c:v>4</c:v>
                </c:pt>
                <c:pt idx="5">
                  <c:v>5</c:v>
                </c:pt>
              </c:numCache>
            </c:numRef>
          </c:cat>
          <c:val>
            <c:numRef>
              <c:f>Sheet3!$D$17:$D$22</c:f>
              <c:numCache>
                <c:formatCode>_("$"* #,##0.00_);_("$"* \(#,##0.00\);_("$"* "-"??_);_(@_)</c:formatCode>
                <c:ptCount val="6"/>
                <c:pt idx="0">
                  <c:v>296</c:v>
                </c:pt>
                <c:pt idx="1">
                  <c:v>300.44</c:v>
                </c:pt>
                <c:pt idx="2">
                  <c:v>304.94659999999999</c:v>
                </c:pt>
                <c:pt idx="3">
                  <c:v>309.52079899999995</c:v>
                </c:pt>
                <c:pt idx="4">
                  <c:v>314.16361098499993</c:v>
                </c:pt>
                <c:pt idx="5">
                  <c:v>318.87606514977489</c:v>
                </c:pt>
              </c:numCache>
            </c:numRef>
          </c:val>
          <c:extLst>
            <c:ext xmlns:c16="http://schemas.microsoft.com/office/drawing/2014/chart" uri="{C3380CC4-5D6E-409C-BE32-E72D297353CC}">
              <c16:uniqueId val="{00000002-9112-4EF6-97AB-CC0685E6B80F}"/>
            </c:ext>
          </c:extLst>
        </c:ser>
        <c:ser>
          <c:idx val="3"/>
          <c:order val="3"/>
          <c:tx>
            <c:strRef>
              <c:f>Sheet3!$E$16</c:f>
              <c:strCache>
                <c:ptCount val="1"/>
                <c:pt idx="0">
                  <c:v>Total Cherry</c:v>
                </c:pt>
              </c:strCache>
            </c:strRef>
          </c:tx>
          <c:spPr>
            <a:solidFill>
              <a:schemeClr val="accent4"/>
            </a:solidFill>
            <a:ln>
              <a:noFill/>
            </a:ln>
            <a:effectLst/>
          </c:spPr>
          <c:invertIfNegative val="0"/>
          <c:cat>
            <c:numRef>
              <c:f>Sheet3!$A$17:$A$22</c:f>
              <c:numCache>
                <c:formatCode>General</c:formatCode>
                <c:ptCount val="6"/>
                <c:pt idx="0">
                  <c:v>0</c:v>
                </c:pt>
                <c:pt idx="1">
                  <c:v>1</c:v>
                </c:pt>
                <c:pt idx="2">
                  <c:v>2</c:v>
                </c:pt>
                <c:pt idx="3">
                  <c:v>3</c:v>
                </c:pt>
                <c:pt idx="4">
                  <c:v>4</c:v>
                </c:pt>
                <c:pt idx="5">
                  <c:v>5</c:v>
                </c:pt>
              </c:numCache>
            </c:numRef>
          </c:cat>
          <c:val>
            <c:numRef>
              <c:f>Sheet3!$E$17:$E$22</c:f>
              <c:numCache>
                <c:formatCode>_("$"* #,##0.00_);_("$"* \(#,##0.00\);_("$"* "-"??_);_(@_)</c:formatCode>
                <c:ptCount val="6"/>
                <c:pt idx="0">
                  <c:v>461</c:v>
                </c:pt>
                <c:pt idx="1">
                  <c:v>469.4</c:v>
                </c:pt>
                <c:pt idx="2">
                  <c:v>477.96163999999999</c:v>
                </c:pt>
                <c:pt idx="3">
                  <c:v>486.68819995999996</c:v>
                </c:pt>
                <c:pt idx="4">
                  <c:v>495.58302956803993</c:v>
                </c:pt>
                <c:pt idx="5">
                  <c:v>504.64954977880791</c:v>
                </c:pt>
              </c:numCache>
            </c:numRef>
          </c:val>
          <c:extLst>
            <c:ext xmlns:c16="http://schemas.microsoft.com/office/drawing/2014/chart" uri="{C3380CC4-5D6E-409C-BE32-E72D297353CC}">
              <c16:uniqueId val="{00000003-9112-4EF6-97AB-CC0685E6B80F}"/>
            </c:ext>
          </c:extLst>
        </c:ser>
        <c:ser>
          <c:idx val="4"/>
          <c:order val="4"/>
          <c:tx>
            <c:strRef>
              <c:f>Sheet3!$F$16</c:f>
              <c:strCache>
                <c:ptCount val="1"/>
                <c:pt idx="0">
                  <c:v>Total Oak</c:v>
                </c:pt>
              </c:strCache>
            </c:strRef>
          </c:tx>
          <c:spPr>
            <a:solidFill>
              <a:schemeClr val="accent5"/>
            </a:solidFill>
            <a:ln>
              <a:noFill/>
            </a:ln>
            <a:effectLst/>
          </c:spPr>
          <c:invertIfNegative val="0"/>
          <c:cat>
            <c:numRef>
              <c:f>Sheet3!$A$17:$A$22</c:f>
              <c:numCache>
                <c:formatCode>General</c:formatCode>
                <c:ptCount val="6"/>
                <c:pt idx="0">
                  <c:v>0</c:v>
                </c:pt>
                <c:pt idx="1">
                  <c:v>1</c:v>
                </c:pt>
                <c:pt idx="2">
                  <c:v>2</c:v>
                </c:pt>
                <c:pt idx="3">
                  <c:v>3</c:v>
                </c:pt>
                <c:pt idx="4">
                  <c:v>4</c:v>
                </c:pt>
                <c:pt idx="5">
                  <c:v>5</c:v>
                </c:pt>
              </c:numCache>
            </c:numRef>
          </c:cat>
          <c:val>
            <c:numRef>
              <c:f>Sheet3!$F$17:$F$22</c:f>
              <c:numCache>
                <c:formatCode>_("$"* #,##0.00_);_("$"* \(#,##0.00\);_("$"* "-"??_);_(@_)</c:formatCode>
                <c:ptCount val="6"/>
                <c:pt idx="0">
                  <c:v>425</c:v>
                </c:pt>
                <c:pt idx="1">
                  <c:v>431.63299999999998</c:v>
                </c:pt>
                <c:pt idx="2">
                  <c:v>438.36988099999996</c:v>
                </c:pt>
                <c:pt idx="3">
                  <c:v>445.21227577699995</c:v>
                </c:pt>
                <c:pt idx="4">
                  <c:v>452.16184286720886</c:v>
                </c:pt>
                <c:pt idx="5">
                  <c:v>459.22026697398138</c:v>
                </c:pt>
              </c:numCache>
            </c:numRef>
          </c:val>
          <c:extLst>
            <c:ext xmlns:c16="http://schemas.microsoft.com/office/drawing/2014/chart" uri="{C3380CC4-5D6E-409C-BE32-E72D297353CC}">
              <c16:uniqueId val="{00000004-9112-4EF6-97AB-CC0685E6B80F}"/>
            </c:ext>
          </c:extLst>
        </c:ser>
        <c:dLbls>
          <c:showLegendKey val="0"/>
          <c:showVal val="0"/>
          <c:showCatName val="0"/>
          <c:showSerName val="0"/>
          <c:showPercent val="0"/>
          <c:showBubbleSize val="0"/>
        </c:dLbls>
        <c:gapWidth val="219"/>
        <c:overlap val="-27"/>
        <c:axId val="1235122447"/>
        <c:axId val="1235131567"/>
      </c:barChart>
      <c:catAx>
        <c:axId val="12351224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31567"/>
        <c:crosses val="autoZero"/>
        <c:auto val="1"/>
        <c:lblAlgn val="ctr"/>
        <c:lblOffset val="100"/>
        <c:noMultiLvlLbl val="0"/>
      </c:catAx>
      <c:valAx>
        <c:axId val="12351315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Dollars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5122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and demand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533728966610098"/>
          <c:y val="0.14227080935941697"/>
          <c:w val="0.84932134487205169"/>
          <c:h val="0.68771266940309106"/>
        </c:manualLayout>
      </c:layout>
      <c:scatterChart>
        <c:scatterStyle val="lineMarker"/>
        <c:varyColors val="0"/>
        <c:ser>
          <c:idx val="0"/>
          <c:order val="0"/>
          <c:tx>
            <c:strRef>
              <c:f>Sheet5!$C$1</c:f>
              <c:strCache>
                <c:ptCount val="1"/>
                <c:pt idx="0">
                  <c:v>Demand (00s)</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1"/>
            <c:trendlineLbl>
              <c:layout>
                <c:manualLayout>
                  <c:x val="0.13292869641294838"/>
                  <c:y val="-0.5833322397200350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power"/>
            <c:dispRSqr val="0"/>
            <c:dispEq val="1"/>
            <c:trendlineLbl>
              <c:layout>
                <c:manualLayout>
                  <c:x val="-0.54714553753070028"/>
                  <c:y val="-0.53380390166994374"/>
                </c:manualLayout>
              </c:layout>
              <c:numFmt formatCode="#,##0;[Red]#,##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exp"/>
            <c:dispRSqr val="0"/>
            <c:dispEq val="0"/>
          </c:trendline>
          <c:trendline>
            <c:spPr>
              <a:ln w="19050" cap="rnd">
                <a:solidFill>
                  <a:schemeClr val="accent1"/>
                </a:solidFill>
                <a:prstDash val="sysDot"/>
              </a:ln>
              <a:effectLst/>
            </c:spPr>
            <c:trendlineType val="exp"/>
            <c:dispRSqr val="0"/>
            <c:dispEq val="1"/>
            <c:trendlineLbl>
              <c:layout>
                <c:manualLayout>
                  <c:x val="-4.8551335701511204E-2"/>
                  <c:y val="-0.5604266526523079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Sheet5!$B$2:$B$13</c:f>
              <c:numCache>
                <c:formatCode>General</c:formatCode>
                <c:ptCount val="12"/>
                <c:pt idx="0">
                  <c:v>450</c:v>
                </c:pt>
                <c:pt idx="1">
                  <c:v>300</c:v>
                </c:pt>
                <c:pt idx="2">
                  <c:v>440</c:v>
                </c:pt>
                <c:pt idx="3">
                  <c:v>360</c:v>
                </c:pt>
                <c:pt idx="4">
                  <c:v>290</c:v>
                </c:pt>
                <c:pt idx="5">
                  <c:v>450</c:v>
                </c:pt>
                <c:pt idx="6">
                  <c:v>340</c:v>
                </c:pt>
                <c:pt idx="7">
                  <c:v>370</c:v>
                </c:pt>
                <c:pt idx="8">
                  <c:v>500</c:v>
                </c:pt>
                <c:pt idx="9">
                  <c:v>490</c:v>
                </c:pt>
                <c:pt idx="10">
                  <c:v>430</c:v>
                </c:pt>
                <c:pt idx="11">
                  <c:v>390</c:v>
                </c:pt>
              </c:numCache>
            </c:numRef>
          </c:xVal>
          <c:yVal>
            <c:numRef>
              <c:f>Sheet5!$C$2:$C$13</c:f>
              <c:numCache>
                <c:formatCode>General</c:formatCode>
                <c:ptCount val="12"/>
                <c:pt idx="0">
                  <c:v>45</c:v>
                </c:pt>
                <c:pt idx="1">
                  <c:v>103</c:v>
                </c:pt>
                <c:pt idx="2">
                  <c:v>49</c:v>
                </c:pt>
                <c:pt idx="3">
                  <c:v>86</c:v>
                </c:pt>
                <c:pt idx="4">
                  <c:v>125</c:v>
                </c:pt>
                <c:pt idx="5">
                  <c:v>52</c:v>
                </c:pt>
                <c:pt idx="6">
                  <c:v>87</c:v>
                </c:pt>
                <c:pt idx="7">
                  <c:v>68</c:v>
                </c:pt>
                <c:pt idx="8">
                  <c:v>45</c:v>
                </c:pt>
                <c:pt idx="9">
                  <c:v>44</c:v>
                </c:pt>
                <c:pt idx="10">
                  <c:v>58</c:v>
                </c:pt>
                <c:pt idx="11">
                  <c:v>68</c:v>
                </c:pt>
              </c:numCache>
            </c:numRef>
          </c:yVal>
          <c:smooth val="0"/>
          <c:extLst>
            <c:ext xmlns:c16="http://schemas.microsoft.com/office/drawing/2014/chart" uri="{C3380CC4-5D6E-409C-BE32-E72D297353CC}">
              <c16:uniqueId val="{00000000-8765-4D1D-9B5E-4B02CAD42B42}"/>
            </c:ext>
          </c:extLst>
        </c:ser>
        <c:dLbls>
          <c:showLegendKey val="0"/>
          <c:showVal val="0"/>
          <c:showCatName val="0"/>
          <c:showSerName val="0"/>
          <c:showPercent val="0"/>
          <c:showBubbleSize val="0"/>
        </c:dLbls>
        <c:axId val="941835391"/>
        <c:axId val="941834911"/>
      </c:scatterChart>
      <c:valAx>
        <c:axId val="941835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834911"/>
        <c:crosses val="autoZero"/>
        <c:crossBetween val="midCat"/>
      </c:valAx>
      <c:valAx>
        <c:axId val="941834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demand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83539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571500</xdr:colOff>
      <xdr:row>4</xdr:row>
      <xdr:rowOff>7620</xdr:rowOff>
    </xdr:from>
    <xdr:to>
      <xdr:col>10</xdr:col>
      <xdr:colOff>579120</xdr:colOff>
      <xdr:row>21</xdr:row>
      <xdr:rowOff>129540</xdr:rowOff>
    </xdr:to>
    <xdr:sp macro="" textlink="">
      <xdr:nvSpPr>
        <xdr:cNvPr id="2" name="TextBox 1">
          <a:extLst>
            <a:ext uri="{FF2B5EF4-FFF2-40B4-BE49-F238E27FC236}">
              <a16:creationId xmlns:a16="http://schemas.microsoft.com/office/drawing/2014/main" id="{F02B4664-23B5-07E4-3BDF-DD83BD81B9E2}"/>
            </a:ext>
          </a:extLst>
        </xdr:cNvPr>
        <xdr:cNvSpPr txBox="1"/>
      </xdr:nvSpPr>
      <xdr:spPr>
        <a:xfrm>
          <a:off x="3619500" y="739140"/>
          <a:ext cx="3055620" cy="3230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Scenario </a:t>
          </a:r>
        </a:p>
        <a:p>
          <a:r>
            <a:rPr lang="en-US" sz="1100" b="0" i="0">
              <a:solidFill>
                <a:schemeClr val="dk1"/>
              </a:solidFill>
              <a:effectLst/>
              <a:latin typeface="+mn-lt"/>
              <a:ea typeface="+mn-ea"/>
              <a:cs typeface="+mn-cs"/>
            </a:rPr>
            <a:t>Randy is a t-shirt vendor who plans to order t-shirts with the names of the NCAA final four teams from a manufacturer and then sell them to fans.  The fixed cost of any order is $750, the variable cost per T-shirt to Randy is $8, and Randy’s selling price is $18.  However, this price will be charged only until a week after the tournament. After that time, Randy figures that the interest in the t-shirts will be low, so he plans to sell all remaining t-shirts, if any, at $6 each.  His best guess is that the demand for the t-shirts during the full price period will be 1500.  He is thinking about ordering 1450 t-shirts, but he wants to build a spreadsheet model that will let him experiment with the uncertain demand and his order quantity.  How should he proceed?</a:t>
          </a:r>
        </a:p>
        <a:p>
          <a:r>
            <a:rPr lang="en-US" sz="1100" b="0" i="0">
              <a:solidFill>
                <a:schemeClr val="dk1"/>
              </a:solidFill>
              <a:effectLst/>
              <a:latin typeface="+mn-lt"/>
              <a:ea typeface="+mn-ea"/>
              <a:cs typeface="+mn-cs"/>
            </a:rPr>
            <a:t>Build a spreadsheet to model the scenario.</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144780</xdr:colOff>
      <xdr:row>4</xdr:row>
      <xdr:rowOff>152400</xdr:rowOff>
    </xdr:from>
    <xdr:to>
      <xdr:col>14</xdr:col>
      <xdr:colOff>213360</xdr:colOff>
      <xdr:row>23</xdr:row>
      <xdr:rowOff>167640</xdr:rowOff>
    </xdr:to>
    <xdr:sp macro="" textlink="">
      <xdr:nvSpPr>
        <xdr:cNvPr id="2" name="TextBox 1">
          <a:extLst>
            <a:ext uri="{FF2B5EF4-FFF2-40B4-BE49-F238E27FC236}">
              <a16:creationId xmlns:a16="http://schemas.microsoft.com/office/drawing/2014/main" id="{7EA6E015-5510-708F-3286-1F5DE5E382E4}"/>
            </a:ext>
          </a:extLst>
        </xdr:cNvPr>
        <xdr:cNvSpPr txBox="1"/>
      </xdr:nvSpPr>
      <xdr:spPr>
        <a:xfrm>
          <a:off x="4411980" y="883920"/>
          <a:ext cx="4335780" cy="3489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Woodworks Company produces a variety of custom-designed wood furniture, made from either cherry or oak. The company knows that wood prices and labor costs are likely to increase in the future. The table below shows the number of board-feet and labor hours required for a bookshelf, the current costs per board-foot and labor hour, and the anticipated annual increases in these costs.</a:t>
          </a:r>
        </a:p>
        <a:p>
          <a:r>
            <a:rPr lang="en-US" sz="1100" b="0" i="0">
              <a:solidFill>
                <a:schemeClr val="dk1"/>
              </a:solidFill>
              <a:effectLst/>
              <a:latin typeface="+mn-lt"/>
              <a:ea typeface="+mn-ea"/>
              <a:cs typeface="+mn-cs"/>
            </a:rPr>
            <a:t>Build a spreadsheet model that enables the company to experiment with the growth rates in wood and labor costs so that a manager can see, both numerically and graphically, how the costs of bookshelves vary in the next few years.</a:t>
          </a:r>
        </a:p>
        <a:p>
          <a:r>
            <a:rPr lang="en-US" sz="1100" b="1" i="0">
              <a:solidFill>
                <a:schemeClr val="dk1"/>
              </a:solidFill>
              <a:effectLst/>
              <a:latin typeface="+mn-lt"/>
              <a:ea typeface="+mn-ea"/>
              <a:cs typeface="+mn-cs"/>
            </a:rPr>
            <a:t>Resource</a:t>
          </a:r>
        </a:p>
        <a:p>
          <a:r>
            <a:rPr lang="en-US" sz="1100" b="1" i="0">
              <a:solidFill>
                <a:schemeClr val="dk1"/>
              </a:solidFill>
              <a:effectLst/>
              <a:latin typeface="+mn-lt"/>
              <a:ea typeface="+mn-ea"/>
              <a:cs typeface="+mn-cs"/>
            </a:rPr>
            <a:t>Cherry</a:t>
          </a:r>
        </a:p>
        <a:p>
          <a:r>
            <a:rPr lang="en-US" sz="1100" b="1" i="0">
              <a:solidFill>
                <a:schemeClr val="dk1"/>
              </a:solidFill>
              <a:effectLst/>
              <a:latin typeface="+mn-lt"/>
              <a:ea typeface="+mn-ea"/>
              <a:cs typeface="+mn-cs"/>
            </a:rPr>
            <a:t>Oak</a:t>
          </a:r>
        </a:p>
        <a:p>
          <a:r>
            <a:rPr lang="en-US" sz="1100" b="1" i="0">
              <a:solidFill>
                <a:schemeClr val="dk1"/>
              </a:solidFill>
              <a:effectLst/>
              <a:latin typeface="+mn-lt"/>
              <a:ea typeface="+mn-ea"/>
              <a:cs typeface="+mn-cs"/>
            </a:rPr>
            <a:t>Labor</a:t>
          </a:r>
        </a:p>
        <a:p>
          <a:r>
            <a:rPr lang="en-US" sz="1100" b="0" i="0">
              <a:solidFill>
                <a:schemeClr val="dk1"/>
              </a:solidFill>
              <a:effectLst/>
              <a:latin typeface="+mn-lt"/>
              <a:ea typeface="+mn-ea"/>
              <a:cs typeface="+mn-cs"/>
            </a:rPr>
            <a:t>Required per Bookshelf</a:t>
          </a:r>
        </a:p>
        <a:p>
          <a:r>
            <a:rPr lang="en-US" sz="1100" b="0" i="0">
              <a:solidFill>
                <a:schemeClr val="dk1"/>
              </a:solidFill>
              <a:effectLst/>
              <a:latin typeface="+mn-lt"/>
              <a:ea typeface="+mn-ea"/>
              <a:cs typeface="+mn-cs"/>
            </a:rPr>
            <a:t>30</a:t>
          </a:r>
        </a:p>
        <a:p>
          <a:r>
            <a:rPr lang="en-US" sz="1100" b="0" i="0">
              <a:solidFill>
                <a:schemeClr val="dk1"/>
              </a:solidFill>
              <a:effectLst/>
              <a:latin typeface="+mn-lt"/>
              <a:ea typeface="+mn-ea"/>
              <a:cs typeface="+mn-cs"/>
            </a:rPr>
            <a:t>30</a:t>
          </a:r>
        </a:p>
        <a:p>
          <a:r>
            <a:rPr lang="en-US" sz="1100" b="0" i="0">
              <a:solidFill>
                <a:schemeClr val="dk1"/>
              </a:solidFill>
              <a:effectLst/>
              <a:latin typeface="+mn-lt"/>
              <a:ea typeface="+mn-ea"/>
              <a:cs typeface="+mn-cs"/>
            </a:rPr>
            <a:t>16</a:t>
          </a:r>
        </a:p>
        <a:p>
          <a:r>
            <a:rPr lang="en-US" sz="1100" b="0" i="0">
              <a:solidFill>
                <a:schemeClr val="dk1"/>
              </a:solidFill>
              <a:effectLst/>
              <a:latin typeface="+mn-lt"/>
              <a:ea typeface="+mn-ea"/>
              <a:cs typeface="+mn-cs"/>
            </a:rPr>
            <a:t>Current Unit Cost</a:t>
          </a:r>
        </a:p>
        <a:p>
          <a:r>
            <a:rPr lang="en-US" sz="1100" b="0" i="0">
              <a:solidFill>
                <a:schemeClr val="dk1"/>
              </a:solidFill>
              <a:effectLst/>
              <a:latin typeface="+mn-lt"/>
              <a:ea typeface="+mn-ea"/>
              <a:cs typeface="+mn-cs"/>
            </a:rPr>
            <a:t>$5.50</a:t>
          </a:r>
        </a:p>
        <a:p>
          <a:r>
            <a:rPr lang="en-US" sz="1100" b="0" i="0">
              <a:solidFill>
                <a:schemeClr val="dk1"/>
              </a:solidFill>
              <a:effectLst/>
              <a:latin typeface="+mn-lt"/>
              <a:ea typeface="+mn-ea"/>
              <a:cs typeface="+mn-cs"/>
            </a:rPr>
            <a:t>$4.30</a:t>
          </a:r>
        </a:p>
        <a:p>
          <a:r>
            <a:rPr lang="en-US" sz="1100" b="0" i="0">
              <a:solidFill>
                <a:schemeClr val="dk1"/>
              </a:solidFill>
              <a:effectLst/>
              <a:latin typeface="+mn-lt"/>
              <a:ea typeface="+mn-ea"/>
              <a:cs typeface="+mn-cs"/>
            </a:rPr>
            <a:t>$18.50</a:t>
          </a:r>
        </a:p>
        <a:p>
          <a:r>
            <a:rPr lang="en-US" sz="1100" b="0" i="0">
              <a:solidFill>
                <a:schemeClr val="dk1"/>
              </a:solidFill>
              <a:effectLst/>
              <a:latin typeface="+mn-lt"/>
              <a:ea typeface="+mn-ea"/>
              <a:cs typeface="+mn-cs"/>
            </a:rPr>
            <a:t>Anticipated Annual Cost Increase</a:t>
          </a:r>
        </a:p>
        <a:p>
          <a:r>
            <a:rPr lang="en-US" sz="1100" b="0" i="0">
              <a:solidFill>
                <a:schemeClr val="dk1"/>
              </a:solidFill>
              <a:effectLst/>
              <a:latin typeface="+mn-lt"/>
              <a:ea typeface="+mn-ea"/>
              <a:cs typeface="+mn-cs"/>
            </a:rPr>
            <a:t>2.40%</a:t>
          </a:r>
        </a:p>
        <a:p>
          <a:r>
            <a:rPr lang="en-US" sz="1100" b="0" i="0">
              <a:solidFill>
                <a:schemeClr val="dk1"/>
              </a:solidFill>
              <a:effectLst/>
              <a:latin typeface="+mn-lt"/>
              <a:ea typeface="+mn-ea"/>
              <a:cs typeface="+mn-cs"/>
            </a:rPr>
            <a:t>1.70%</a:t>
          </a:r>
        </a:p>
        <a:p>
          <a:r>
            <a:rPr lang="en-US" sz="1100" b="0" i="0">
              <a:solidFill>
                <a:schemeClr val="dk1"/>
              </a:solidFill>
              <a:effectLst/>
              <a:latin typeface="+mn-lt"/>
              <a:ea typeface="+mn-ea"/>
              <a:cs typeface="+mn-cs"/>
            </a:rPr>
            <a:t>1.50%</a:t>
          </a:r>
        </a:p>
        <a:p>
          <a:endParaRPr lang="en-US" sz="1100"/>
        </a:p>
      </xdr:txBody>
    </xdr:sp>
    <xdr:clientData/>
  </xdr:twoCellAnchor>
  <xdr:twoCellAnchor>
    <xdr:from>
      <xdr:col>1</xdr:col>
      <xdr:colOff>68580</xdr:colOff>
      <xdr:row>12</xdr:row>
      <xdr:rowOff>80010</xdr:rowOff>
    </xdr:from>
    <xdr:to>
      <xdr:col>8</xdr:col>
      <xdr:colOff>289560</xdr:colOff>
      <xdr:row>27</xdr:row>
      <xdr:rowOff>80010</xdr:rowOff>
    </xdr:to>
    <xdr:graphicFrame macro="">
      <xdr:nvGraphicFramePr>
        <xdr:cNvPr id="3" name="Chart 2">
          <a:extLst>
            <a:ext uri="{FF2B5EF4-FFF2-40B4-BE49-F238E27FC236}">
              <a16:creationId xmlns:a16="http://schemas.microsoft.com/office/drawing/2014/main" id="{792F7A7A-9B2A-1267-A6BA-AF52FA887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548640</xdr:colOff>
      <xdr:row>3</xdr:row>
      <xdr:rowOff>160020</xdr:rowOff>
    </xdr:from>
    <xdr:to>
      <xdr:col>16</xdr:col>
      <xdr:colOff>594360</xdr:colOff>
      <xdr:row>20</xdr:row>
      <xdr:rowOff>99060</xdr:rowOff>
    </xdr:to>
    <xdr:sp macro="" textlink="">
      <xdr:nvSpPr>
        <xdr:cNvPr id="2" name="TextBox 1">
          <a:extLst>
            <a:ext uri="{FF2B5EF4-FFF2-40B4-BE49-F238E27FC236}">
              <a16:creationId xmlns:a16="http://schemas.microsoft.com/office/drawing/2014/main" id="{56BDA6C1-7D3B-6F35-AEF3-554764E8F334}"/>
            </a:ext>
          </a:extLst>
        </xdr:cNvPr>
        <xdr:cNvSpPr txBox="1"/>
      </xdr:nvSpPr>
      <xdr:spPr>
        <a:xfrm>
          <a:off x="4815840" y="708660"/>
          <a:ext cx="5532120" cy="304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Quality Sweater Company sells hand-knitted sweaters.  The company is planning to print a catalog of its products and undertake a direct mail campaign.  The cost of printing the catalog is $20,000 plus $.10 per catalog.  The cost of mailing each catalog (including postage, order forms, and buying names from a mail-order database) is $0.15. In addition, the company plans to include direct reply envelopes in its mailing and incurs a $.20 in extra costs for each direct mail envelope used by a respondent.  The average size of a customer order is $40, and the company’s variable cost per order (primarily due to labor and material costs) averages about 80% of the order’s value – that is $32.  The company plans to mail 100,000 catalogs.  It wants to develop a spreadsheet model to answer the following questions:</a:t>
          </a:r>
        </a:p>
        <a:p>
          <a:r>
            <a:rPr lang="en-US" sz="1100" b="0" i="0">
              <a:solidFill>
                <a:schemeClr val="dk1"/>
              </a:solidFill>
              <a:effectLst/>
              <a:latin typeface="+mn-lt"/>
              <a:ea typeface="+mn-ea"/>
              <a:cs typeface="+mn-cs"/>
            </a:rPr>
            <a:t>How does a change in the response rate affect profit?</a:t>
          </a:r>
        </a:p>
        <a:p>
          <a:r>
            <a:rPr lang="en-US" sz="1100" b="0" i="0">
              <a:solidFill>
                <a:schemeClr val="dk1"/>
              </a:solidFill>
              <a:effectLst/>
              <a:latin typeface="+mn-lt"/>
              <a:ea typeface="+mn-ea"/>
              <a:cs typeface="+mn-cs"/>
            </a:rPr>
            <a:t>For what response rate does the company break even?</a:t>
          </a:r>
        </a:p>
        <a:p>
          <a:r>
            <a:rPr lang="en-US" sz="1100" b="0" i="0">
              <a:solidFill>
                <a:schemeClr val="dk1"/>
              </a:solidFill>
              <a:effectLst/>
              <a:latin typeface="+mn-lt"/>
              <a:ea typeface="+mn-ea"/>
              <a:cs typeface="+mn-cs"/>
            </a:rPr>
            <a:t>If the company estimates a response rate of 3%, should it proceed with the mailing?</a:t>
          </a:r>
        </a:p>
        <a:p>
          <a:r>
            <a:rPr lang="en-US" sz="1100" b="0" i="0">
              <a:solidFill>
                <a:schemeClr val="dk1"/>
              </a:solidFill>
              <a:effectLst/>
              <a:latin typeface="+mn-lt"/>
              <a:ea typeface="+mn-ea"/>
              <a:cs typeface="+mn-cs"/>
            </a:rPr>
            <a:t>How does the presence of uncertainty affect the usefulness of the model? </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0</xdr:colOff>
      <xdr:row>5</xdr:row>
      <xdr:rowOff>144780</xdr:rowOff>
    </xdr:from>
    <xdr:to>
      <xdr:col>22</xdr:col>
      <xdr:colOff>441960</xdr:colOff>
      <xdr:row>22</xdr:row>
      <xdr:rowOff>160020</xdr:rowOff>
    </xdr:to>
    <xdr:sp macro="" textlink="">
      <xdr:nvSpPr>
        <xdr:cNvPr id="2" name="TextBox 1">
          <a:extLst>
            <a:ext uri="{FF2B5EF4-FFF2-40B4-BE49-F238E27FC236}">
              <a16:creationId xmlns:a16="http://schemas.microsoft.com/office/drawing/2014/main" id="{2A8BB90F-8305-89FF-09A5-2E8637943EDF}"/>
            </a:ext>
          </a:extLst>
        </xdr:cNvPr>
        <xdr:cNvSpPr txBox="1"/>
      </xdr:nvSpPr>
      <xdr:spPr>
        <a:xfrm>
          <a:off x="7315200" y="1059180"/>
          <a:ext cx="6537960" cy="3200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effectLst/>
            </a:rPr>
            <a:t>The 19th Hole</a:t>
          </a:r>
        </a:p>
        <a:p>
          <a:r>
            <a:rPr lang="en-US" sz="1100" b="0" i="0">
              <a:solidFill>
                <a:schemeClr val="dk1"/>
              </a:solidFill>
              <a:effectLst/>
              <a:latin typeface="+mn-lt"/>
              <a:ea typeface="+mn-ea"/>
              <a:cs typeface="+mn-cs"/>
            </a:rPr>
            <a:t>In this lesson, we will use trendlines in Excel to model the relationship between the demand for a product and its price. Read the problem below carefully. If you’d like, take notes and start setting up a spreadsheet model of your own. Then, watch the next video in the course to see a solution. </a:t>
          </a:r>
        </a:p>
        <a:p>
          <a:r>
            <a:rPr lang="en-US" sz="1100" b="1" i="0">
              <a:solidFill>
                <a:schemeClr val="dk1"/>
              </a:solidFill>
              <a:effectLst/>
              <a:latin typeface="+mn-lt"/>
              <a:ea typeface="+mn-ea"/>
              <a:cs typeface="+mn-cs"/>
            </a:rPr>
            <a:t>Scenario</a:t>
          </a:r>
        </a:p>
        <a:p>
          <a:r>
            <a:rPr lang="en-US" sz="1100" b="0" i="0">
              <a:solidFill>
                <a:schemeClr val="dk1"/>
              </a:solidFill>
              <a:effectLst/>
              <a:latin typeface="+mn-lt"/>
              <a:ea typeface="+mn-ea"/>
              <a:cs typeface="+mn-cs"/>
            </a:rPr>
            <a:t>The 19th Hole sells golf clubs at its golf outlet stores throughout the US.  The company knows that the demand for its club varies considerably with price.  In the last year, the demand at each price level was recorded in the table below.</a:t>
          </a: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The company wants to estimate the relationship between demand and price and then use this estimated relationship to answer the following questions: </a:t>
          </a:r>
        </a:p>
        <a:p>
          <a:r>
            <a:rPr lang="en-US" sz="1100" b="0" i="0">
              <a:solidFill>
                <a:schemeClr val="dk1"/>
              </a:solidFill>
              <a:effectLst/>
              <a:latin typeface="+mn-lt"/>
              <a:ea typeface="+mn-ea"/>
              <a:cs typeface="+mn-cs"/>
            </a:rPr>
            <a:t>Assuming the unit cost of producing a set of clubs is $250, and the price must be a multiple of $10, what price should the company charge to maximize its profit?</a:t>
          </a:r>
        </a:p>
        <a:p>
          <a:r>
            <a:rPr lang="en-US" sz="1100" b="0" i="0">
              <a:solidFill>
                <a:schemeClr val="dk1"/>
              </a:solidFill>
              <a:effectLst/>
              <a:latin typeface="+mn-lt"/>
              <a:ea typeface="+mn-ea"/>
              <a:cs typeface="+mn-cs"/>
            </a:rPr>
            <a:t>How does the optimal price depend on the unit cost of producing a set of clubs?</a:t>
          </a:r>
        </a:p>
        <a:p>
          <a:r>
            <a:rPr lang="en-US" sz="1100" b="0" i="0">
              <a:solidFill>
                <a:schemeClr val="dk1"/>
              </a:solidFill>
              <a:effectLst/>
              <a:latin typeface="+mn-lt"/>
              <a:ea typeface="+mn-ea"/>
              <a:cs typeface="+mn-cs"/>
            </a:rPr>
            <a:t>Is the model an accurate representation of reality?</a:t>
          </a:r>
        </a:p>
        <a:p>
          <a:br>
            <a:rPr lang="en-US">
              <a:effectLst/>
            </a:rPr>
          </a:br>
          <a:endParaRPr lang="en-US" sz="1100"/>
        </a:p>
      </xdr:txBody>
    </xdr:sp>
    <xdr:clientData/>
  </xdr:twoCellAnchor>
  <xdr:twoCellAnchor>
    <xdr:from>
      <xdr:col>10</xdr:col>
      <xdr:colOff>190500</xdr:colOff>
      <xdr:row>23</xdr:row>
      <xdr:rowOff>121920</xdr:rowOff>
    </xdr:from>
    <xdr:to>
      <xdr:col>19</xdr:col>
      <xdr:colOff>396240</xdr:colOff>
      <xdr:row>41</xdr:row>
      <xdr:rowOff>140970</xdr:rowOff>
    </xdr:to>
    <xdr:graphicFrame macro="">
      <xdr:nvGraphicFramePr>
        <xdr:cNvPr id="4" name="Chart 3">
          <a:extLst>
            <a:ext uri="{FF2B5EF4-FFF2-40B4-BE49-F238E27FC236}">
              <a16:creationId xmlns:a16="http://schemas.microsoft.com/office/drawing/2014/main" id="{954FBB13-7050-3860-6FBF-8506BEC2E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587188</xdr:colOff>
      <xdr:row>4</xdr:row>
      <xdr:rowOff>161365</xdr:rowOff>
    </xdr:from>
    <xdr:to>
      <xdr:col>24</xdr:col>
      <xdr:colOff>358588</xdr:colOff>
      <xdr:row>20</xdr:row>
      <xdr:rowOff>161365</xdr:rowOff>
    </xdr:to>
    <xdr:sp macro="" textlink="">
      <xdr:nvSpPr>
        <xdr:cNvPr id="2" name="TextBox 1">
          <a:extLst>
            <a:ext uri="{FF2B5EF4-FFF2-40B4-BE49-F238E27FC236}">
              <a16:creationId xmlns:a16="http://schemas.microsoft.com/office/drawing/2014/main" id="{FB334DAE-23B5-83D8-F096-ECFB0F3DED90}"/>
            </a:ext>
          </a:extLst>
        </xdr:cNvPr>
        <xdr:cNvSpPr txBox="1"/>
      </xdr:nvSpPr>
      <xdr:spPr>
        <a:xfrm>
          <a:off x="7902388" y="878541"/>
          <a:ext cx="7086600" cy="28687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0" i="0">
              <a:solidFill>
                <a:srgbClr val="1F1F1F"/>
              </a:solidFill>
              <a:effectLst/>
              <a:highlight>
                <a:srgbClr val="FFFFFF"/>
              </a:highlight>
              <a:latin typeface="var(--cds-font-family-source-sans-pro)"/>
            </a:rPr>
            <a:t>A large drug company, Gopher Drugs, is deciding whether one of its new drugs, Iguazu, is worth pursuing.  Iguazu is in the final stages of development and will be ready to enter the market one year from now.  The final cost of development, to be incurred at the beginning of year 1, is $9.3M.  The company estimates that the demand for Iguazu will gradually grow and then decline over its useful lifetime of 20 years.  Specifically the company expects its gross margins (revenue minus cost) to be $1.2M in year 1, then to increase at an annual rate of 10% through year 8, and finally to decrease at an annual rate of 5% through year 20.  Gopher Drugs wants to develop a spreadsheet model of its 20-year cash flows, assuming its cash flows, other than the initial development cost, are incurred at the </a:t>
          </a:r>
          <a:r>
            <a:rPr lang="en-US" b="0" i="1">
              <a:solidFill>
                <a:srgbClr val="1F1F1F"/>
              </a:solidFill>
              <a:effectLst/>
              <a:highlight>
                <a:srgbClr val="FFFFFF"/>
              </a:highlight>
              <a:latin typeface="var(--cds-font-family-source-sans-pro)"/>
            </a:rPr>
            <a:t>end </a:t>
          </a:r>
          <a:r>
            <a:rPr lang="en-US" b="0" i="0">
              <a:solidFill>
                <a:srgbClr val="1F1F1F"/>
              </a:solidFill>
              <a:effectLst/>
              <a:highlight>
                <a:srgbClr val="FFFFFF"/>
              </a:highlight>
              <a:latin typeface="var(--cds-font-family-source-sans-pro)"/>
            </a:rPr>
            <a:t>of the respective years.  Using an annual discount rate of 12% for purposes of calculating net present value (NPV), the drug company wants to answer the following questions: </a:t>
          </a:r>
        </a:p>
        <a:p>
          <a:pPr algn="l">
            <a:buFont typeface="+mj-lt"/>
            <a:buAutoNum type="arabicPeriod"/>
          </a:pPr>
          <a:r>
            <a:rPr lang="en-US" b="0" i="0">
              <a:solidFill>
                <a:srgbClr val="1F1F1F"/>
              </a:solidFill>
              <a:effectLst/>
              <a:highlight>
                <a:srgbClr val="FFFFFF"/>
              </a:highlight>
              <a:latin typeface="var(--cds-font-family-source-sans-pro)"/>
            </a:rPr>
            <a:t>Is the drug worth pursuing, or should Gopher Drugs abandon it now and not incur the $9.3M development cost?</a:t>
          </a:r>
        </a:p>
        <a:p>
          <a:pPr algn="l">
            <a:buFont typeface="+mj-lt"/>
            <a:buAutoNum type="arabicPeriod"/>
          </a:pPr>
          <a:r>
            <a:rPr lang="en-US" b="0" i="0">
              <a:solidFill>
                <a:srgbClr val="1F1F1F"/>
              </a:solidFill>
              <a:effectLst/>
              <a:highlight>
                <a:srgbClr val="FFFFFF"/>
              </a:highlight>
              <a:latin typeface="var(--cds-font-family-source-sans-pro)"/>
            </a:rPr>
            <a:t>How do changes in the model change the answer to the prior question?</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12</xdr:col>
      <xdr:colOff>175260</xdr:colOff>
      <xdr:row>9</xdr:row>
      <xdr:rowOff>30480</xdr:rowOff>
    </xdr:from>
    <xdr:to>
      <xdr:col>20</xdr:col>
      <xdr:colOff>335280</xdr:colOff>
      <xdr:row>19</xdr:row>
      <xdr:rowOff>76200</xdr:rowOff>
    </xdr:to>
    <xdr:sp macro="" textlink="">
      <xdr:nvSpPr>
        <xdr:cNvPr id="2" name="TextBox 1">
          <a:extLst>
            <a:ext uri="{FF2B5EF4-FFF2-40B4-BE49-F238E27FC236}">
              <a16:creationId xmlns:a16="http://schemas.microsoft.com/office/drawing/2014/main" id="{029B1D1F-9BD4-8029-F57A-1248557B7C8D}"/>
            </a:ext>
          </a:extLst>
        </xdr:cNvPr>
        <xdr:cNvSpPr txBox="1"/>
      </xdr:nvSpPr>
      <xdr:spPr>
        <a:xfrm>
          <a:off x="7490460" y="1676400"/>
          <a:ext cx="5036820" cy="18745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 candidate for mayor has allocated $40,000 for last minute advertising in the days preceding the election.  Two types of ads will be used: radio and television.  Each radio ad costs $200 and reaches an estimated 3000 people.  Each television ad costs $500 and reaches an estimated 7000 people.  The campaigning mayor would like to reach as many people as possible, but she has stipulated that at least 10 ads of each type be used.  Also, the number of radio ads must be at least as great as the number of television ads. </a:t>
          </a:r>
        </a:p>
        <a:p>
          <a:r>
            <a:rPr lang="en-US" sz="1100" b="0" i="0">
              <a:solidFill>
                <a:schemeClr val="dk1"/>
              </a:solidFill>
              <a:effectLst/>
              <a:latin typeface="+mn-lt"/>
              <a:ea typeface="+mn-ea"/>
              <a:cs typeface="+mn-cs"/>
            </a:rPr>
            <a:t>How many ads of each type should be used?</a:t>
          </a:r>
        </a:p>
        <a:p>
          <a:r>
            <a:rPr lang="en-US" sz="1100" b="0" i="0">
              <a:solidFill>
                <a:schemeClr val="dk1"/>
              </a:solidFill>
              <a:effectLst/>
              <a:latin typeface="+mn-lt"/>
              <a:ea typeface="+mn-ea"/>
              <a:cs typeface="+mn-cs"/>
            </a:rPr>
            <a:t>How many people will be reached?</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251460</xdr:colOff>
      <xdr:row>11</xdr:row>
      <xdr:rowOff>91440</xdr:rowOff>
    </xdr:from>
    <xdr:to>
      <xdr:col>22</xdr:col>
      <xdr:colOff>220980</xdr:colOff>
      <xdr:row>26</xdr:row>
      <xdr:rowOff>30480</xdr:rowOff>
    </xdr:to>
    <xdr:sp macro="" textlink="">
      <xdr:nvSpPr>
        <xdr:cNvPr id="2" name="TextBox 1">
          <a:extLst>
            <a:ext uri="{FF2B5EF4-FFF2-40B4-BE49-F238E27FC236}">
              <a16:creationId xmlns:a16="http://schemas.microsoft.com/office/drawing/2014/main" id="{5830ECA3-4520-A33C-62C6-6B8B0E07EC60}"/>
            </a:ext>
          </a:extLst>
        </xdr:cNvPr>
        <xdr:cNvSpPr txBox="1"/>
      </xdr:nvSpPr>
      <xdr:spPr>
        <a:xfrm>
          <a:off x="8785860" y="1188720"/>
          <a:ext cx="4846320" cy="2865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The PC Tech company assembles and then tests two models of computers, Basic and XP.  For the coming month, the company wants to decide how many of each model to assemble and then test.  No computers are in inventory from the previous month, and because these models are going to be changed after this month, the company doesn’t want to hold any inventory after this month.  It believes the most it can sell this month are 600 Basics and 1200 XPs.  Each Basic sells for $300 and each XP sells for $450. The cost of component parts for a Basic is $150; for an XP it is $225.  Labor is required for assembly and testing.  There are at most 10,000 assembly hours and 3,000 testing hours available.  Each labor hour for assembling costs $11 and each labor hour for testing costs $15.  Each Basic requires five hours for assembling and one hour for testing.  Each XP requires six hours for assembling and two hours for testing. PC Tech wants to know how many of each model it should produce (assemble and test) to maximize its net profit, but it cannot use more labor hours that are available, and it does not want to produce more than it can sell. </a:t>
          </a:r>
        </a:p>
        <a:p>
          <a:br>
            <a:rPr lang="en-US"/>
          </a:b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12</xdr:col>
      <xdr:colOff>586740</xdr:colOff>
      <xdr:row>8</xdr:row>
      <xdr:rowOff>175260</xdr:rowOff>
    </xdr:from>
    <xdr:to>
      <xdr:col>21</xdr:col>
      <xdr:colOff>190500</xdr:colOff>
      <xdr:row>17</xdr:row>
      <xdr:rowOff>30480</xdr:rowOff>
    </xdr:to>
    <xdr:sp macro="" textlink="">
      <xdr:nvSpPr>
        <xdr:cNvPr id="2" name="TextBox 1">
          <a:extLst>
            <a:ext uri="{FF2B5EF4-FFF2-40B4-BE49-F238E27FC236}">
              <a16:creationId xmlns:a16="http://schemas.microsoft.com/office/drawing/2014/main" id="{94718153-E1AE-D07E-3208-FFB9DFDFF3E5}"/>
            </a:ext>
          </a:extLst>
        </xdr:cNvPr>
        <xdr:cNvSpPr txBox="1"/>
      </xdr:nvSpPr>
      <xdr:spPr>
        <a:xfrm>
          <a:off x="7901940" y="1638300"/>
          <a:ext cx="5090160" cy="1501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A brokerage firm has been instructed by a client to invest $250,000. The client requests the firm select whatever stocks and bonds they believe are well-rated, but with the following guidelines:</a:t>
          </a:r>
        </a:p>
        <a:p>
          <a:r>
            <a:rPr lang="en-US" sz="1100" b="0" i="0">
              <a:solidFill>
                <a:schemeClr val="dk1"/>
              </a:solidFill>
              <a:effectLst/>
              <a:latin typeface="+mn-lt"/>
              <a:ea typeface="+mn-ea"/>
              <a:cs typeface="+mn-cs"/>
            </a:rPr>
            <a:t>Municipal bonds constitute at least 20% of investment.</a:t>
          </a:r>
        </a:p>
        <a:p>
          <a:r>
            <a:rPr lang="en-US" sz="1100" b="0" i="0">
              <a:solidFill>
                <a:schemeClr val="dk1"/>
              </a:solidFill>
              <a:effectLst/>
              <a:latin typeface="+mn-lt"/>
              <a:ea typeface="+mn-ea"/>
              <a:cs typeface="+mn-cs"/>
            </a:rPr>
            <a:t>At least 40% of the investment is placed in tech stocks.</a:t>
          </a:r>
        </a:p>
        <a:p>
          <a:r>
            <a:rPr lang="en-US" sz="1100" b="0" i="0">
              <a:solidFill>
                <a:schemeClr val="dk1"/>
              </a:solidFill>
              <a:effectLst/>
              <a:latin typeface="+mn-lt"/>
              <a:ea typeface="+mn-ea"/>
              <a:cs typeface="+mn-cs"/>
            </a:rPr>
            <a:t>No more than 50% of the amount invested in municipal bonds should be high risk.</a:t>
          </a:r>
        </a:p>
        <a:p>
          <a:r>
            <a:rPr lang="en-US" sz="1100" b="0" i="0">
              <a:solidFill>
                <a:schemeClr val="dk1"/>
              </a:solidFill>
              <a:effectLst/>
              <a:latin typeface="+mn-lt"/>
              <a:ea typeface="+mn-ea"/>
              <a:cs typeface="+mn-cs"/>
            </a:rPr>
            <a:t>The table below lists the rate of return for five different investment options.</a:t>
          </a:r>
        </a:p>
        <a:p>
          <a:br>
            <a:rPr lang="en-US"/>
          </a:b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350520</xdr:colOff>
      <xdr:row>5</xdr:row>
      <xdr:rowOff>160020</xdr:rowOff>
    </xdr:from>
    <xdr:to>
      <xdr:col>30</xdr:col>
      <xdr:colOff>83820</xdr:colOff>
      <xdr:row>17</xdr:row>
      <xdr:rowOff>152400</xdr:rowOff>
    </xdr:to>
    <xdr:sp macro="" textlink="">
      <xdr:nvSpPr>
        <xdr:cNvPr id="2" name="TextBox 1">
          <a:extLst>
            <a:ext uri="{FF2B5EF4-FFF2-40B4-BE49-F238E27FC236}">
              <a16:creationId xmlns:a16="http://schemas.microsoft.com/office/drawing/2014/main" id="{FE9182AA-7A7A-058C-8385-9EDD9CE8FFC0}"/>
            </a:ext>
          </a:extLst>
        </xdr:cNvPr>
        <xdr:cNvSpPr txBox="1"/>
      </xdr:nvSpPr>
      <xdr:spPr>
        <a:xfrm>
          <a:off x="14439900" y="1074420"/>
          <a:ext cx="6438900" cy="2186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ohns Hopkins is setting up three Charter schools in Baltimore City: Kyoko HS, Devon HS, and Manny HS. Each high school has a capacity of 900 students. The Mayor hires your company to assign accepted students to these three new high schools.  Busses will be provided to students who live more than walking distance (defined as 1.5 miles) to the schools. Baltimore City has been partitioned into five neighborhoods: A, B, C, D and E.  Kyoko HS is in sector B, Devon HS is in sector C, and Manny HS is in sector E. If a student lives in a sector and is assigned to the high school in that sector, the student can walk to school and does not get a bus. All students must be assigned a school. The table below shows the distance (in miles) from each sector to each school. Minimize the total student miles travelled by bus. </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BC9306-3566-4D05-BE28-B0B467DE83DF}" name="Table1" displayName="Table1" ref="A1:C14" totalsRowShown="0" headerRowDxfId="6" dataDxfId="5">
  <autoFilter ref="A1:C14" xr:uid="{88BC9306-3566-4D05-BE28-B0B467DE83DF}"/>
  <tableColumns count="3">
    <tableColumn id="1" xr3:uid="{76AB6529-F390-4B81-AD5F-24502364373A}" name="Month" dataDxfId="4"/>
    <tableColumn id="2" xr3:uid="{D6CD5DA5-F131-4777-9DF3-8E55B59932C3}" name="Price" dataDxfId="3"/>
    <tableColumn id="3" xr3:uid="{C1D4ED80-B41C-4214-8852-06D36C776791}" name="Demand (00s)"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BD84A-D466-413C-B5C2-D39D41770DA7}">
  <dimension ref="A1:C20"/>
  <sheetViews>
    <sheetView workbookViewId="0">
      <selection activeCell="F7" sqref="F7"/>
    </sheetView>
  </sheetViews>
  <sheetFormatPr defaultRowHeight="14.4"/>
  <cols>
    <col min="1" max="1" width="9.88671875" customWidth="1"/>
    <col min="2" max="2" width="10.21875" bestFit="1" customWidth="1"/>
  </cols>
  <sheetData>
    <row r="1" spans="1:3">
      <c r="A1" s="36" t="s">
        <v>0</v>
      </c>
      <c r="B1" s="36"/>
    </row>
    <row r="3" spans="1:3">
      <c r="A3" s="3" t="s">
        <v>1</v>
      </c>
    </row>
    <row r="4" spans="1:3">
      <c r="A4" s="4" t="s">
        <v>2</v>
      </c>
      <c r="B4" s="1">
        <v>5000</v>
      </c>
    </row>
    <row r="5" spans="1:3">
      <c r="A5" s="4" t="s">
        <v>3</v>
      </c>
      <c r="B5" s="1">
        <f>22%*B4</f>
        <v>1100</v>
      </c>
      <c r="C5" t="str">
        <f ca="1">_xlfn.FORMULATEXT(B5)</f>
        <v>=22%*B4</v>
      </c>
    </row>
    <row r="6" spans="1:3">
      <c r="A6" s="4" t="s">
        <v>4</v>
      </c>
      <c r="B6" s="7">
        <v>500</v>
      </c>
    </row>
    <row r="7" spans="1:3">
      <c r="A7" s="4" t="s">
        <v>5</v>
      </c>
      <c r="B7" s="7">
        <v>50</v>
      </c>
    </row>
    <row r="8" spans="1:3">
      <c r="A8" s="4" t="s">
        <v>6</v>
      </c>
      <c r="B8" s="7">
        <v>500</v>
      </c>
    </row>
    <row r="9" spans="1:3">
      <c r="A9" s="5" t="s">
        <v>7</v>
      </c>
      <c r="B9" s="8">
        <f>B4-B5-B6-B7-B8</f>
        <v>2850</v>
      </c>
    </row>
    <row r="11" spans="1:3">
      <c r="A11" s="6" t="s">
        <v>8</v>
      </c>
    </row>
    <row r="12" spans="1:3">
      <c r="A12" s="4" t="s">
        <v>9</v>
      </c>
      <c r="B12" s="7">
        <f>150*12</f>
        <v>1800</v>
      </c>
    </row>
    <row r="13" spans="1:3">
      <c r="A13" s="4" t="s">
        <v>10</v>
      </c>
      <c r="B13" s="7">
        <v>500</v>
      </c>
    </row>
    <row r="14" spans="1:3">
      <c r="A14" s="4" t="s">
        <v>11</v>
      </c>
      <c r="B14" s="7">
        <v>500</v>
      </c>
    </row>
    <row r="15" spans="1:3">
      <c r="A15" s="4" t="s">
        <v>12</v>
      </c>
      <c r="B15" s="7">
        <v>100</v>
      </c>
    </row>
    <row r="16" spans="1:3">
      <c r="A16" s="4" t="s">
        <v>13</v>
      </c>
      <c r="B16" s="7">
        <v>100</v>
      </c>
    </row>
    <row r="17" spans="1:2">
      <c r="A17" s="4" t="s">
        <v>14</v>
      </c>
      <c r="B17" s="7">
        <v>500</v>
      </c>
    </row>
    <row r="18" spans="1:2">
      <c r="A18" s="6" t="s">
        <v>15</v>
      </c>
      <c r="B18" s="9">
        <f>SUM(B12:B17)</f>
        <v>3500</v>
      </c>
    </row>
    <row r="19" spans="1:2">
      <c r="A19" s="6" t="s">
        <v>16</v>
      </c>
      <c r="B19" s="10">
        <f>B9-B18</f>
        <v>-650</v>
      </c>
    </row>
    <row r="20" spans="1:2">
      <c r="B20" t="s">
        <v>17</v>
      </c>
    </row>
  </sheetData>
  <mergeCells count="1">
    <mergeCell ref="A1:B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F0BFD-7628-4679-B1EF-1D21DC11F90D}">
  <dimension ref="A1:D18"/>
  <sheetViews>
    <sheetView workbookViewId="0">
      <selection activeCell="E5" sqref="E5"/>
    </sheetView>
  </sheetViews>
  <sheetFormatPr defaultRowHeight="14.4"/>
  <cols>
    <col min="1" max="1" width="18.6640625" customWidth="1"/>
    <col min="2" max="2" width="11.21875" bestFit="1" customWidth="1"/>
  </cols>
  <sheetData>
    <row r="1" spans="1:4">
      <c r="A1" s="37" t="s">
        <v>18</v>
      </c>
      <c r="B1" s="37"/>
      <c r="C1" s="37"/>
      <c r="D1" s="37"/>
    </row>
    <row r="3" spans="1:4">
      <c r="A3" t="s">
        <v>19</v>
      </c>
    </row>
    <row r="4" spans="1:4">
      <c r="A4" t="s">
        <v>20</v>
      </c>
    </row>
    <row r="5" spans="1:4">
      <c r="A5" t="s">
        <v>21</v>
      </c>
      <c r="B5" s="7">
        <v>750</v>
      </c>
    </row>
    <row r="6" spans="1:4">
      <c r="A6" t="s">
        <v>22</v>
      </c>
      <c r="B6" s="7">
        <v>8</v>
      </c>
      <c r="C6" t="s">
        <v>23</v>
      </c>
    </row>
    <row r="7" spans="1:4">
      <c r="A7" t="s">
        <v>26</v>
      </c>
      <c r="B7" s="7"/>
    </row>
    <row r="8" spans="1:4">
      <c r="A8" t="s">
        <v>27</v>
      </c>
      <c r="B8" s="7">
        <v>18</v>
      </c>
      <c r="C8" t="s">
        <v>23</v>
      </c>
    </row>
    <row r="9" spans="1:4">
      <c r="A9" t="s">
        <v>28</v>
      </c>
      <c r="B9" s="7">
        <v>6</v>
      </c>
      <c r="C9" t="s">
        <v>23</v>
      </c>
    </row>
    <row r="11" spans="1:4">
      <c r="A11" t="s">
        <v>24</v>
      </c>
      <c r="B11" s="11">
        <v>1450</v>
      </c>
    </row>
    <row r="12" spans="1:4">
      <c r="A12" t="s">
        <v>33</v>
      </c>
      <c r="B12" s="11">
        <v>1500</v>
      </c>
    </row>
    <row r="13" spans="1:4">
      <c r="A13" t="s">
        <v>29</v>
      </c>
      <c r="B13">
        <f>MIN(B11:B12)</f>
        <v>1450</v>
      </c>
      <c r="C13" t="str">
        <f ca="1">_xlfn.FORMULATEXT(B13)</f>
        <v>=MIN(B11:B12)</v>
      </c>
    </row>
    <row r="14" spans="1:4">
      <c r="A14" t="s">
        <v>30</v>
      </c>
      <c r="B14">
        <f>MAX(B11-B12,0)</f>
        <v>0</v>
      </c>
      <c r="C14" t="str">
        <f ca="1">_xlfn.FORMULATEXT(B14)</f>
        <v>=MAX(B11-B12,0)</v>
      </c>
    </row>
    <row r="16" spans="1:4">
      <c r="A16" t="s">
        <v>25</v>
      </c>
      <c r="B16" s="7">
        <f>B5+B6*B11</f>
        <v>12350</v>
      </c>
      <c r="C16" t="str">
        <f ca="1">_xlfn.FORMULATEXT(B16)</f>
        <v>=B5+B6*B11</v>
      </c>
    </row>
    <row r="17" spans="1:3">
      <c r="A17" t="s">
        <v>31</v>
      </c>
      <c r="B17" s="7">
        <f>B13*B8+B14*B9</f>
        <v>26100</v>
      </c>
      <c r="C17" t="str">
        <f ca="1">_xlfn.FORMULATEXT(B17)</f>
        <v>=B13*B8+B14*B9</v>
      </c>
    </row>
    <row r="18" spans="1:3">
      <c r="A18" t="s">
        <v>32</v>
      </c>
      <c r="B18" s="7">
        <f>B17-B16</f>
        <v>13750</v>
      </c>
      <c r="C18" t="str">
        <f ca="1">_xlfn.FORMULATEXT(B18)</f>
        <v>=B17-B16</v>
      </c>
    </row>
  </sheetData>
  <mergeCells count="1">
    <mergeCell ref="A1:D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CED53-3A08-4F33-A38F-3EDB90B54F31}">
  <dimension ref="A1:F22"/>
  <sheetViews>
    <sheetView topLeftCell="A15" workbookViewId="0">
      <selection activeCell="I37" sqref="I37"/>
    </sheetView>
  </sheetViews>
  <sheetFormatPr defaultRowHeight="14.4"/>
  <cols>
    <col min="1" max="1" width="15.5546875" customWidth="1"/>
    <col min="5" max="5" width="10.109375" customWidth="1"/>
  </cols>
  <sheetData>
    <row r="1" spans="1:6">
      <c r="A1" s="37" t="s">
        <v>34</v>
      </c>
      <c r="B1" s="37"/>
      <c r="C1" s="37"/>
    </row>
    <row r="3" spans="1:6">
      <c r="A3" t="s">
        <v>20</v>
      </c>
      <c r="B3" t="s">
        <v>35</v>
      </c>
      <c r="C3" t="s">
        <v>36</v>
      </c>
    </row>
    <row r="4" spans="1:6">
      <c r="A4" t="s">
        <v>37</v>
      </c>
      <c r="B4" s="2">
        <v>5.5</v>
      </c>
      <c r="C4" s="2">
        <v>4.3</v>
      </c>
    </row>
    <row r="5" spans="1:6">
      <c r="A5" t="s">
        <v>38</v>
      </c>
      <c r="B5">
        <v>30</v>
      </c>
      <c r="C5">
        <v>30</v>
      </c>
    </row>
    <row r="6" spans="1:6">
      <c r="A6" t="s">
        <v>39</v>
      </c>
      <c r="B6" s="2">
        <f>B5*B4</f>
        <v>165</v>
      </c>
      <c r="C6" s="2">
        <f>C5*C4</f>
        <v>129</v>
      </c>
    </row>
    <row r="8" spans="1:6">
      <c r="A8" t="s">
        <v>40</v>
      </c>
      <c r="B8">
        <v>16</v>
      </c>
      <c r="C8">
        <v>16</v>
      </c>
    </row>
    <row r="9" spans="1:6">
      <c r="A9" t="s">
        <v>41</v>
      </c>
      <c r="B9" s="2">
        <v>18.5</v>
      </c>
      <c r="C9" s="2">
        <v>18.5</v>
      </c>
    </row>
    <row r="10" spans="1:6">
      <c r="A10" t="s">
        <v>42</v>
      </c>
      <c r="B10" s="2">
        <f>B9*B8</f>
        <v>296</v>
      </c>
      <c r="C10" s="2">
        <f>C9*C8</f>
        <v>296</v>
      </c>
    </row>
    <row r="12" spans="1:6">
      <c r="A12" t="s">
        <v>25</v>
      </c>
      <c r="B12" s="12">
        <f>B10+B6</f>
        <v>461</v>
      </c>
      <c r="C12" s="12">
        <f>C10+C6</f>
        <v>425</v>
      </c>
    </row>
    <row r="14" spans="1:6">
      <c r="A14" t="s">
        <v>43</v>
      </c>
      <c r="B14" s="15">
        <v>2.4E-2</v>
      </c>
      <c r="C14" s="15">
        <v>1.7000000000000001E-2</v>
      </c>
      <c r="D14" s="15">
        <v>1.4999999999999999E-2</v>
      </c>
    </row>
    <row r="16" spans="1:6">
      <c r="A16" s="13" t="s">
        <v>44</v>
      </c>
      <c r="B16" s="13" t="s">
        <v>35</v>
      </c>
      <c r="C16" s="13" t="s">
        <v>36</v>
      </c>
      <c r="D16" s="13" t="s">
        <v>45</v>
      </c>
      <c r="E16" s="13" t="s">
        <v>46</v>
      </c>
      <c r="F16" s="13" t="s">
        <v>47</v>
      </c>
    </row>
    <row r="17" spans="1:6">
      <c r="A17" s="13">
        <v>0</v>
      </c>
      <c r="B17" s="14">
        <f>B6</f>
        <v>165</v>
      </c>
      <c r="C17" s="14">
        <f>C6</f>
        <v>129</v>
      </c>
      <c r="D17" s="14">
        <f>B10</f>
        <v>296</v>
      </c>
      <c r="E17" s="14">
        <f>B17+D17</f>
        <v>461</v>
      </c>
      <c r="F17" s="14">
        <f>C17+D17</f>
        <v>425</v>
      </c>
    </row>
    <row r="18" spans="1:6">
      <c r="A18" s="13">
        <v>1</v>
      </c>
      <c r="B18" s="14">
        <f>B17*(1+$B$14)</f>
        <v>168.96</v>
      </c>
      <c r="C18" s="14">
        <f>C17*(1+$C$14)</f>
        <v>131.19299999999998</v>
      </c>
      <c r="D18" s="14">
        <f>D17*(1+$D$14)</f>
        <v>300.44</v>
      </c>
      <c r="E18" s="14">
        <f>B18+D18</f>
        <v>469.4</v>
      </c>
      <c r="F18" s="14">
        <f>C18+D18</f>
        <v>431.63299999999998</v>
      </c>
    </row>
    <row r="19" spans="1:6">
      <c r="A19" s="13">
        <v>2</v>
      </c>
      <c r="B19" s="14">
        <f t="shared" ref="B19:B22" si="0">B18*(1+$B$14)</f>
        <v>173.01504</v>
      </c>
      <c r="C19" s="14">
        <f t="shared" ref="C19:C22" si="1">C18*(1+$C$14)</f>
        <v>133.42328099999997</v>
      </c>
      <c r="D19" s="14">
        <f t="shared" ref="D19:D22" si="2">D18*(1+$D$14)</f>
        <v>304.94659999999999</v>
      </c>
      <c r="E19" s="14">
        <f t="shared" ref="E19:E22" si="3">B19+D19</f>
        <v>477.96163999999999</v>
      </c>
      <c r="F19" s="14">
        <f t="shared" ref="F19:F22" si="4">C19+D19</f>
        <v>438.36988099999996</v>
      </c>
    </row>
    <row r="20" spans="1:6">
      <c r="A20" s="13">
        <v>3</v>
      </c>
      <c r="B20" s="14">
        <f t="shared" si="0"/>
        <v>177.16740096000001</v>
      </c>
      <c r="C20" s="14">
        <f t="shared" si="1"/>
        <v>135.69147677699996</v>
      </c>
      <c r="D20" s="14">
        <f t="shared" si="2"/>
        <v>309.52079899999995</v>
      </c>
      <c r="E20" s="14">
        <f t="shared" si="3"/>
        <v>486.68819995999996</v>
      </c>
      <c r="F20" s="14">
        <f t="shared" si="4"/>
        <v>445.21227577699995</v>
      </c>
    </row>
    <row r="21" spans="1:6">
      <c r="A21" s="13">
        <v>4</v>
      </c>
      <c r="B21" s="14">
        <f t="shared" si="0"/>
        <v>181.41941858304003</v>
      </c>
      <c r="C21" s="14">
        <f t="shared" si="1"/>
        <v>137.99823188220896</v>
      </c>
      <c r="D21" s="14">
        <f t="shared" si="2"/>
        <v>314.16361098499993</v>
      </c>
      <c r="E21" s="14">
        <f t="shared" si="3"/>
        <v>495.58302956803993</v>
      </c>
      <c r="F21" s="14">
        <f t="shared" si="4"/>
        <v>452.16184286720886</v>
      </c>
    </row>
    <row r="22" spans="1:6">
      <c r="A22" s="13">
        <v>5</v>
      </c>
      <c r="B22" s="14">
        <f t="shared" si="0"/>
        <v>185.77348462903299</v>
      </c>
      <c r="C22" s="14">
        <f t="shared" si="1"/>
        <v>140.34420182420649</v>
      </c>
      <c r="D22" s="14">
        <f t="shared" si="2"/>
        <v>318.87606514977489</v>
      </c>
      <c r="E22" s="14">
        <f t="shared" si="3"/>
        <v>504.64954977880791</v>
      </c>
      <c r="F22" s="14">
        <f t="shared" si="4"/>
        <v>459.22026697398138</v>
      </c>
    </row>
  </sheetData>
  <mergeCells count="1">
    <mergeCell ref="A1:C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E0AC8-3D25-4120-A7A5-8181EB4C8467}">
  <dimension ref="A1:K37"/>
  <sheetViews>
    <sheetView topLeftCell="A13" workbookViewId="0">
      <selection activeCell="J26" sqref="J26:K37"/>
    </sheetView>
  </sheetViews>
  <sheetFormatPr defaultRowHeight="14.4"/>
  <cols>
    <col min="1" max="1" width="22.109375" customWidth="1"/>
    <col min="2" max="2" width="12.21875" bestFit="1" customWidth="1"/>
    <col min="3" max="3" width="10.88671875" customWidth="1"/>
    <col min="4" max="4" width="11.77734375" bestFit="1" customWidth="1"/>
    <col min="5" max="5" width="11.33203125" customWidth="1"/>
    <col min="6" max="6" width="12.6640625" customWidth="1"/>
  </cols>
  <sheetData>
    <row r="1" spans="1:6" ht="15.6" thickTop="1" thickBot="1">
      <c r="A1" s="38" t="s">
        <v>48</v>
      </c>
      <c r="B1" s="38"/>
      <c r="C1" s="38"/>
      <c r="D1" s="38"/>
    </row>
    <row r="2" spans="1:6" ht="15" thickTop="1"/>
    <row r="3" spans="1:6">
      <c r="A3" t="s">
        <v>49</v>
      </c>
      <c r="E3" t="s">
        <v>65</v>
      </c>
    </row>
    <row r="4" spans="1:6">
      <c r="A4" t="s">
        <v>20</v>
      </c>
      <c r="E4" t="s">
        <v>66</v>
      </c>
      <c r="F4" t="s">
        <v>67</v>
      </c>
    </row>
    <row r="5" spans="1:6">
      <c r="A5" t="s">
        <v>50</v>
      </c>
      <c r="B5" s="2">
        <v>20000</v>
      </c>
      <c r="F5" s="19">
        <f>B20</f>
        <v>-6000</v>
      </c>
    </row>
    <row r="6" spans="1:6">
      <c r="A6" t="s">
        <v>22</v>
      </c>
      <c r="E6">
        <v>3</v>
      </c>
      <c r="F6" s="19">
        <f t="dataTable" ref="F6:F16" dt2D="0" dtr="0" r1="B14"/>
        <v>2295000</v>
      </c>
    </row>
    <row r="7" spans="1:6">
      <c r="A7" t="s">
        <v>50</v>
      </c>
      <c r="B7" s="2">
        <v>0.1</v>
      </c>
      <c r="C7" t="s">
        <v>52</v>
      </c>
      <c r="E7">
        <v>3.5</v>
      </c>
      <c r="F7" s="19">
        <v>2684999.9999999981</v>
      </c>
    </row>
    <row r="8" spans="1:6">
      <c r="A8" t="s">
        <v>51</v>
      </c>
      <c r="B8" s="2">
        <v>0.15</v>
      </c>
      <c r="C8" t="s">
        <v>52</v>
      </c>
      <c r="E8">
        <v>4</v>
      </c>
      <c r="F8" s="19">
        <v>3074999.9999999981</v>
      </c>
    </row>
    <row r="9" spans="1:6">
      <c r="A9" t="s">
        <v>53</v>
      </c>
      <c r="B9" s="2">
        <v>0.2</v>
      </c>
      <c r="C9" t="s">
        <v>54</v>
      </c>
      <c r="E9">
        <v>4.5</v>
      </c>
      <c r="F9" s="19">
        <v>3464999.9999999981</v>
      </c>
    </row>
    <row r="10" spans="1:6">
      <c r="A10" t="s">
        <v>57</v>
      </c>
      <c r="B10" s="2">
        <v>32</v>
      </c>
      <c r="C10" t="s">
        <v>54</v>
      </c>
      <c r="E10">
        <v>5</v>
      </c>
      <c r="F10" s="19">
        <v>3854999.9999999981</v>
      </c>
    </row>
    <row r="11" spans="1:6">
      <c r="A11" t="s">
        <v>63</v>
      </c>
      <c r="B11" s="12">
        <f>B5+(B7+B8)*B13+(B9+B10)*B15</f>
        <v>206000</v>
      </c>
      <c r="E11">
        <v>5.5</v>
      </c>
      <c r="F11" s="19">
        <v>4245000</v>
      </c>
    </row>
    <row r="12" spans="1:6">
      <c r="E12">
        <v>6</v>
      </c>
      <c r="F12" s="19">
        <v>4635000</v>
      </c>
    </row>
    <row r="13" spans="1:6">
      <c r="A13" t="s">
        <v>58</v>
      </c>
      <c r="B13" s="16">
        <v>100000</v>
      </c>
      <c r="E13">
        <v>6.5</v>
      </c>
      <c r="F13" s="19">
        <v>5025000</v>
      </c>
    </row>
    <row r="14" spans="1:6">
      <c r="A14" t="s">
        <v>59</v>
      </c>
      <c r="B14" s="18">
        <v>0.05</v>
      </c>
      <c r="C14" t="s">
        <v>60</v>
      </c>
      <c r="D14" s="22">
        <v>0.03</v>
      </c>
      <c r="E14">
        <v>7</v>
      </c>
      <c r="F14" s="19">
        <v>5414999.9999999963</v>
      </c>
    </row>
    <row r="15" spans="1:6">
      <c r="A15" t="s">
        <v>61</v>
      </c>
      <c r="B15" s="17">
        <f>B13*B14</f>
        <v>5000</v>
      </c>
      <c r="D15" s="17">
        <f>B13*D14</f>
        <v>3000</v>
      </c>
      <c r="E15">
        <v>7.5</v>
      </c>
      <c r="F15" s="19">
        <v>5804999.9999999963</v>
      </c>
    </row>
    <row r="16" spans="1:6">
      <c r="E16">
        <v>8</v>
      </c>
      <c r="F16" s="19">
        <v>6194999.9999999963</v>
      </c>
    </row>
    <row r="17" spans="1:11">
      <c r="A17" t="s">
        <v>55</v>
      </c>
    </row>
    <row r="18" spans="1:11">
      <c r="A18" t="s">
        <v>56</v>
      </c>
      <c r="B18" s="2">
        <v>40</v>
      </c>
      <c r="D18">
        <f>B18*D15</f>
        <v>120000</v>
      </c>
    </row>
    <row r="19" spans="1:11">
      <c r="A19" t="s">
        <v>62</v>
      </c>
      <c r="B19" s="2">
        <f>B18*B15</f>
        <v>200000</v>
      </c>
      <c r="F19" s="12">
        <f>B20</f>
        <v>-6000</v>
      </c>
    </row>
    <row r="20" spans="1:11">
      <c r="A20" t="s">
        <v>64</v>
      </c>
      <c r="B20" s="12">
        <f>B19-B11</f>
        <v>-6000</v>
      </c>
      <c r="D20" s="12">
        <f>D18-B11</f>
        <v>-86000</v>
      </c>
      <c r="E20">
        <v>3</v>
      </c>
      <c r="F20">
        <f t="dataTable" ref="F20:F30" dt2D="0" dtr="0" r1="B14" ca="1"/>
        <v>2295000</v>
      </c>
    </row>
    <row r="21" spans="1:11">
      <c r="E21">
        <v>3.5</v>
      </c>
      <c r="F21">
        <v>2684999.9999999981</v>
      </c>
    </row>
    <row r="22" spans="1:11">
      <c r="E22">
        <v>4</v>
      </c>
      <c r="F22">
        <v>3074999.9999999981</v>
      </c>
    </row>
    <row r="23" spans="1:11">
      <c r="E23">
        <v>4.5</v>
      </c>
      <c r="F23">
        <v>3464999.9999999981</v>
      </c>
    </row>
    <row r="24" spans="1:11">
      <c r="E24">
        <v>5</v>
      </c>
      <c r="F24">
        <v>3854999.9999999981</v>
      </c>
    </row>
    <row r="25" spans="1:11">
      <c r="E25">
        <v>5.5</v>
      </c>
      <c r="F25">
        <v>4245000</v>
      </c>
    </row>
    <row r="26" spans="1:11">
      <c r="C26" s="21">
        <f>B14</f>
        <v>0.05</v>
      </c>
      <c r="E26">
        <v>6</v>
      </c>
      <c r="F26">
        <v>4635000</v>
      </c>
      <c r="K26" s="21">
        <f>D14</f>
        <v>0.03</v>
      </c>
    </row>
    <row r="27" spans="1:11">
      <c r="B27">
        <v>3</v>
      </c>
      <c r="C27">
        <f t="dataTable" ref="C27:C37" dt2D="0" dtr="0" r1="B20" ca="1"/>
        <v>0.05</v>
      </c>
      <c r="E27">
        <v>6.5</v>
      </c>
      <c r="F27">
        <v>5025000</v>
      </c>
      <c r="J27">
        <v>3</v>
      </c>
      <c r="K27">
        <f t="dataTable" ref="K27:K37" dt2D="0" dtr="0" r1="D20"/>
        <v>0.03</v>
      </c>
    </row>
    <row r="28" spans="1:11">
      <c r="B28">
        <v>3.5</v>
      </c>
      <c r="C28">
        <v>0.05</v>
      </c>
      <c r="E28">
        <v>7</v>
      </c>
      <c r="F28">
        <v>5414999.9999999963</v>
      </c>
      <c r="J28">
        <v>3.5</v>
      </c>
      <c r="K28">
        <v>0.03</v>
      </c>
    </row>
    <row r="29" spans="1:11">
      <c r="B29">
        <v>4</v>
      </c>
      <c r="C29">
        <v>0.05</v>
      </c>
      <c r="E29">
        <v>7.5</v>
      </c>
      <c r="F29">
        <v>5804999.9999999963</v>
      </c>
      <c r="J29">
        <v>4</v>
      </c>
      <c r="K29">
        <v>0.03</v>
      </c>
    </row>
    <row r="30" spans="1:11">
      <c r="B30">
        <v>4.5</v>
      </c>
      <c r="C30">
        <v>0.05</v>
      </c>
      <c r="E30">
        <v>8</v>
      </c>
      <c r="F30">
        <v>6194999.9999999963</v>
      </c>
      <c r="J30">
        <v>4.5</v>
      </c>
      <c r="K30">
        <v>0.03</v>
      </c>
    </row>
    <row r="31" spans="1:11">
      <c r="B31">
        <v>5</v>
      </c>
      <c r="C31">
        <v>0.05</v>
      </c>
      <c r="J31">
        <v>5</v>
      </c>
      <c r="K31">
        <v>0.03</v>
      </c>
    </row>
    <row r="32" spans="1:11">
      <c r="B32">
        <v>5.5</v>
      </c>
      <c r="C32">
        <v>0.05</v>
      </c>
      <c r="J32">
        <v>5.5</v>
      </c>
      <c r="K32">
        <v>0.03</v>
      </c>
    </row>
    <row r="33" spans="2:11">
      <c r="B33">
        <v>6</v>
      </c>
      <c r="C33">
        <v>0.05</v>
      </c>
      <c r="J33">
        <v>6</v>
      </c>
      <c r="K33">
        <v>0.03</v>
      </c>
    </row>
    <row r="34" spans="2:11">
      <c r="B34">
        <v>6.5</v>
      </c>
      <c r="C34">
        <v>0.05</v>
      </c>
      <c r="J34">
        <v>6.5</v>
      </c>
      <c r="K34">
        <v>0.03</v>
      </c>
    </row>
    <row r="35" spans="2:11">
      <c r="B35">
        <v>7</v>
      </c>
      <c r="C35">
        <v>0.05</v>
      </c>
      <c r="J35">
        <v>7</v>
      </c>
      <c r="K35">
        <v>0.03</v>
      </c>
    </row>
    <row r="36" spans="2:11">
      <c r="B36">
        <v>7.5</v>
      </c>
      <c r="C36">
        <v>0.05</v>
      </c>
      <c r="J36">
        <v>7.5</v>
      </c>
      <c r="K36">
        <v>0.03</v>
      </c>
    </row>
    <row r="37" spans="2:11">
      <c r="B37">
        <v>8</v>
      </c>
      <c r="C37">
        <v>0.05</v>
      </c>
      <c r="J37">
        <v>8</v>
      </c>
      <c r="K37">
        <v>0.03</v>
      </c>
    </row>
  </sheetData>
  <mergeCells count="1">
    <mergeCell ref="A1:D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7686D-EE7A-43B7-A118-AE518192AA6E}">
  <dimension ref="A1:O109"/>
  <sheetViews>
    <sheetView topLeftCell="A15" zoomScaleNormal="100" workbookViewId="0">
      <selection activeCell="D22" sqref="D22"/>
    </sheetView>
  </sheetViews>
  <sheetFormatPr defaultRowHeight="14.4"/>
  <cols>
    <col min="1" max="1" width="14.5546875" customWidth="1"/>
    <col min="2" max="2" width="13.88671875" bestFit="1" customWidth="1"/>
    <col min="3" max="3" width="12.33203125" customWidth="1"/>
    <col min="4" max="4" width="10.33203125" customWidth="1"/>
    <col min="5" max="5" width="18.6640625" customWidth="1"/>
    <col min="6" max="6" width="13.44140625" customWidth="1"/>
    <col min="7" max="7" width="12.6640625" bestFit="1" customWidth="1"/>
    <col min="8" max="8" width="11.109375" customWidth="1"/>
    <col min="10" max="10" width="9.6640625" bestFit="1" customWidth="1"/>
    <col min="11" max="11" width="12.6640625" bestFit="1" customWidth="1"/>
    <col min="12" max="15" width="11.109375" bestFit="1" customWidth="1"/>
  </cols>
  <sheetData>
    <row r="1" spans="1:6">
      <c r="A1" s="23" t="s">
        <v>68</v>
      </c>
      <c r="B1" s="23" t="s">
        <v>69</v>
      </c>
      <c r="C1" s="23" t="s">
        <v>70</v>
      </c>
    </row>
    <row r="2" spans="1:6">
      <c r="A2" s="24">
        <v>1</v>
      </c>
      <c r="B2" s="24">
        <v>450</v>
      </c>
      <c r="C2" s="24">
        <v>45</v>
      </c>
    </row>
    <row r="3" spans="1:6">
      <c r="A3" s="24">
        <v>2</v>
      </c>
      <c r="B3" s="24">
        <v>300</v>
      </c>
      <c r="C3" s="24">
        <v>103</v>
      </c>
    </row>
    <row r="4" spans="1:6">
      <c r="A4" s="24">
        <v>3</v>
      </c>
      <c r="B4" s="24">
        <v>440</v>
      </c>
      <c r="C4" s="24">
        <v>49</v>
      </c>
    </row>
    <row r="5" spans="1:6">
      <c r="A5" s="24">
        <v>4</v>
      </c>
      <c r="B5" s="24">
        <v>360</v>
      </c>
      <c r="C5" s="24">
        <v>86</v>
      </c>
    </row>
    <row r="6" spans="1:6">
      <c r="A6" s="24">
        <v>5</v>
      </c>
      <c r="B6" s="24">
        <v>290</v>
      </c>
      <c r="C6" s="24">
        <v>125</v>
      </c>
    </row>
    <row r="7" spans="1:6">
      <c r="A7" s="24">
        <v>6</v>
      </c>
      <c r="B7" s="24">
        <v>450</v>
      </c>
      <c r="C7" s="24">
        <v>52</v>
      </c>
    </row>
    <row r="8" spans="1:6">
      <c r="A8" s="24">
        <v>7</v>
      </c>
      <c r="B8" s="24">
        <v>340</v>
      </c>
      <c r="C8" s="24">
        <v>87</v>
      </c>
    </row>
    <row r="9" spans="1:6">
      <c r="A9" s="24">
        <v>8</v>
      </c>
      <c r="B9" s="24">
        <v>370</v>
      </c>
      <c r="C9" s="24">
        <v>68</v>
      </c>
    </row>
    <row r="10" spans="1:6">
      <c r="A10" s="24">
        <v>9</v>
      </c>
      <c r="B10" s="24">
        <v>500</v>
      </c>
      <c r="C10" s="24">
        <v>45</v>
      </c>
    </row>
    <row r="11" spans="1:6">
      <c r="A11" s="24">
        <v>10</v>
      </c>
      <c r="B11" s="24">
        <v>490</v>
      </c>
      <c r="C11" s="24">
        <v>44</v>
      </c>
    </row>
    <row r="12" spans="1:6">
      <c r="A12" s="24">
        <v>11</v>
      </c>
      <c r="B12" s="24">
        <v>430</v>
      </c>
      <c r="C12" s="24">
        <v>58</v>
      </c>
    </row>
    <row r="13" spans="1:6">
      <c r="A13" s="24">
        <v>12</v>
      </c>
      <c r="B13" s="25">
        <v>390</v>
      </c>
      <c r="C13" s="25">
        <v>68</v>
      </c>
    </row>
    <row r="16" spans="1:6">
      <c r="A16" s="39" t="s">
        <v>81</v>
      </c>
      <c r="B16" s="40"/>
      <c r="C16" s="39" t="s">
        <v>74</v>
      </c>
      <c r="D16" s="40"/>
      <c r="E16" s="39" t="s">
        <v>77</v>
      </c>
      <c r="F16" s="40"/>
    </row>
    <row r="17" spans="1:8">
      <c r="A17" s="13" t="s">
        <v>72</v>
      </c>
      <c r="B17" s="13">
        <v>211.31</v>
      </c>
      <c r="C17" s="13" t="s">
        <v>75</v>
      </c>
      <c r="D17" s="28">
        <v>5871064</v>
      </c>
      <c r="E17" s="13" t="s">
        <v>75</v>
      </c>
      <c r="F17" s="13">
        <v>466.51</v>
      </c>
    </row>
    <row r="18" spans="1:8">
      <c r="A18" s="13" t="s">
        <v>73</v>
      </c>
      <c r="B18" s="13">
        <v>-0.35460000000000003</v>
      </c>
      <c r="C18" s="13" t="s">
        <v>76</v>
      </c>
      <c r="D18" s="13">
        <v>-1.9079999999999999</v>
      </c>
      <c r="E18" s="13" t="s">
        <v>76</v>
      </c>
      <c r="F18" s="13">
        <v>-5.0000000000000001E-3</v>
      </c>
    </row>
    <row r="20" spans="1:8">
      <c r="A20" t="s">
        <v>78</v>
      </c>
      <c r="F20" t="s">
        <v>82</v>
      </c>
    </row>
    <row r="21" spans="1:8">
      <c r="A21" t="s">
        <v>69</v>
      </c>
      <c r="B21" t="s">
        <v>71</v>
      </c>
      <c r="C21" t="s">
        <v>79</v>
      </c>
      <c r="D21" t="s">
        <v>80</v>
      </c>
      <c r="E21" t="s">
        <v>70</v>
      </c>
      <c r="F21" t="s">
        <v>71</v>
      </c>
      <c r="G21" t="s">
        <v>79</v>
      </c>
      <c r="H21" t="s">
        <v>80</v>
      </c>
    </row>
    <row r="22" spans="1:8">
      <c r="A22">
        <v>450</v>
      </c>
      <c r="B22" s="26">
        <f>$B$18*A22+$B$17</f>
        <v>51.739999999999981</v>
      </c>
      <c r="C22" s="26">
        <f>$D$17*A22^$D$18</f>
        <v>50.861286169919921</v>
      </c>
      <c r="D22" s="26">
        <f>$F$17*EXP($F$18*A22)</f>
        <v>49.169792250355329</v>
      </c>
      <c r="E22">
        <v>45</v>
      </c>
      <c r="F22" s="29">
        <f>ABS(B22-E22)/E22</f>
        <v>0.14977777777777734</v>
      </c>
      <c r="G22" s="29">
        <f>ABS(C22-E22)/E22</f>
        <v>0.13025080377599826</v>
      </c>
      <c r="H22" s="29">
        <f>ABS(D22-E22)/E22</f>
        <v>9.2662050007896193E-2</v>
      </c>
    </row>
    <row r="23" spans="1:8">
      <c r="A23">
        <v>300</v>
      </c>
      <c r="B23" s="26">
        <f t="shared" ref="B23:B33" si="0">$B$18*A23+$B$17</f>
        <v>104.92999999999999</v>
      </c>
      <c r="C23" s="26">
        <f t="shared" ref="C23:C33" si="1">$D$17*A23^$D$18</f>
        <v>110.2476803704582</v>
      </c>
      <c r="D23" s="26">
        <f t="shared" ref="D23:D33" si="2">$F$17*EXP($F$18*A23)</f>
        <v>104.09245101084399</v>
      </c>
      <c r="E23">
        <v>103</v>
      </c>
      <c r="F23" s="29">
        <f t="shared" ref="F23:F33" si="3">ABS(B23-E23)/E23</f>
        <v>1.8737864077669832E-2</v>
      </c>
      <c r="G23" s="29">
        <f t="shared" ref="G23:G33" si="4">ABS(C23-E23)/E23</f>
        <v>7.0365828839399985E-2</v>
      </c>
      <c r="H23" s="29">
        <f t="shared" ref="H23:H33" si="5">ABS(D23-E23)/E23</f>
        <v>1.0606320493630948E-2</v>
      </c>
    </row>
    <row r="24" spans="1:8">
      <c r="A24">
        <v>440</v>
      </c>
      <c r="B24" s="26">
        <f t="shared" si="0"/>
        <v>55.286000000000001</v>
      </c>
      <c r="C24" s="26">
        <f t="shared" si="1"/>
        <v>53.089557787712614</v>
      </c>
      <c r="D24" s="26">
        <f t="shared" si="2"/>
        <v>51.69078140761237</v>
      </c>
      <c r="E24">
        <v>49</v>
      </c>
      <c r="F24" s="29">
        <f t="shared" si="3"/>
        <v>0.12828571428571431</v>
      </c>
      <c r="G24" s="29">
        <f t="shared" si="4"/>
        <v>8.3460363014543154E-2</v>
      </c>
      <c r="H24" s="29">
        <f t="shared" si="5"/>
        <v>5.4913906277803466E-2</v>
      </c>
    </row>
    <row r="25" spans="1:8">
      <c r="A25">
        <v>360</v>
      </c>
      <c r="B25" s="26">
        <f t="shared" si="0"/>
        <v>83.653999999999996</v>
      </c>
      <c r="C25" s="26">
        <f t="shared" si="1"/>
        <v>77.85592038588905</v>
      </c>
      <c r="D25" s="26">
        <f t="shared" si="2"/>
        <v>77.113584344252331</v>
      </c>
      <c r="E25">
        <v>86</v>
      </c>
      <c r="F25" s="29">
        <f t="shared" si="3"/>
        <v>2.7279069767441901E-2</v>
      </c>
      <c r="G25" s="29">
        <f t="shared" si="4"/>
        <v>9.4698600164080812E-2</v>
      </c>
      <c r="H25" s="29">
        <f t="shared" si="5"/>
        <v>0.10333041460171709</v>
      </c>
    </row>
    <row r="26" spans="1:8">
      <c r="A26">
        <v>290</v>
      </c>
      <c r="B26" s="26">
        <f t="shared" si="0"/>
        <v>108.476</v>
      </c>
      <c r="C26" s="26">
        <f t="shared" si="1"/>
        <v>117.61465381582187</v>
      </c>
      <c r="D26" s="26">
        <f t="shared" si="2"/>
        <v>109.42938509863754</v>
      </c>
      <c r="E26">
        <v>125</v>
      </c>
      <c r="F26" s="29">
        <f t="shared" si="3"/>
        <v>0.132192</v>
      </c>
      <c r="G26" s="29">
        <f t="shared" si="4"/>
        <v>5.9082769473425063E-2</v>
      </c>
      <c r="H26" s="29">
        <f t="shared" si="5"/>
        <v>0.12456491921089968</v>
      </c>
    </row>
    <row r="27" spans="1:8">
      <c r="A27">
        <v>450</v>
      </c>
      <c r="B27" s="26">
        <f t="shared" si="0"/>
        <v>51.739999999999981</v>
      </c>
      <c r="C27" s="26">
        <f t="shared" si="1"/>
        <v>50.861286169919921</v>
      </c>
      <c r="D27" s="26">
        <f t="shared" si="2"/>
        <v>49.169792250355329</v>
      </c>
      <c r="E27">
        <v>52</v>
      </c>
      <c r="F27" s="29">
        <f t="shared" si="3"/>
        <v>5.0000000000003713E-3</v>
      </c>
      <c r="G27" s="29">
        <f t="shared" si="4"/>
        <v>2.1898342886155355E-2</v>
      </c>
      <c r="H27" s="29">
        <f t="shared" si="5"/>
        <v>5.4427072108551369E-2</v>
      </c>
    </row>
    <row r="28" spans="1:8">
      <c r="A28">
        <v>340</v>
      </c>
      <c r="B28" s="26">
        <f t="shared" si="0"/>
        <v>90.745999999999995</v>
      </c>
      <c r="C28" s="26">
        <f t="shared" si="1"/>
        <v>86.827049006961417</v>
      </c>
      <c r="D28" s="26">
        <f t="shared" si="2"/>
        <v>85.223690805841244</v>
      </c>
      <c r="E28">
        <v>87</v>
      </c>
      <c r="F28" s="29">
        <f t="shared" si="3"/>
        <v>4.3057471264367757E-2</v>
      </c>
      <c r="G28" s="29">
        <f t="shared" si="4"/>
        <v>1.9879424487193459E-3</v>
      </c>
      <c r="H28" s="29">
        <f t="shared" si="5"/>
        <v>2.0417347059296046E-2</v>
      </c>
    </row>
    <row r="29" spans="1:8">
      <c r="A29">
        <v>370</v>
      </c>
      <c r="B29" s="26">
        <f t="shared" si="0"/>
        <v>80.108000000000004</v>
      </c>
      <c r="C29" s="26">
        <f t="shared" si="1"/>
        <v>73.890384263545585</v>
      </c>
      <c r="D29" s="26">
        <f t="shared" si="2"/>
        <v>73.352710456970414</v>
      </c>
      <c r="E29">
        <v>68</v>
      </c>
      <c r="F29" s="29">
        <f t="shared" si="3"/>
        <v>0.17805882352941182</v>
      </c>
      <c r="G29" s="29">
        <f t="shared" si="4"/>
        <v>8.6623297993317416E-2</v>
      </c>
      <c r="H29" s="29">
        <f t="shared" si="5"/>
        <v>7.8716330249564911E-2</v>
      </c>
    </row>
    <row r="30" spans="1:8">
      <c r="A30">
        <v>500</v>
      </c>
      <c r="B30" s="26">
        <f t="shared" si="0"/>
        <v>34.009999999999991</v>
      </c>
      <c r="C30" s="26">
        <f t="shared" si="1"/>
        <v>41.59891911995917</v>
      </c>
      <c r="D30" s="26">
        <f t="shared" si="2"/>
        <v>38.293472708035026</v>
      </c>
      <c r="E30">
        <v>45</v>
      </c>
      <c r="F30" s="29">
        <f t="shared" si="3"/>
        <v>0.24422222222222242</v>
      </c>
      <c r="G30" s="29">
        <f t="shared" si="4"/>
        <v>7.5579575112018446E-2</v>
      </c>
      <c r="H30" s="29">
        <f t="shared" si="5"/>
        <v>0.14903393982144386</v>
      </c>
    </row>
    <row r="31" spans="1:8">
      <c r="A31">
        <v>490</v>
      </c>
      <c r="B31" s="26">
        <f t="shared" si="0"/>
        <v>37.555999999999983</v>
      </c>
      <c r="C31" s="26">
        <f t="shared" si="1"/>
        <v>43.233728796663705</v>
      </c>
      <c r="D31" s="26">
        <f t="shared" si="2"/>
        <v>40.256821037821332</v>
      </c>
      <c r="E31">
        <v>44</v>
      </c>
      <c r="F31" s="29">
        <f t="shared" si="3"/>
        <v>0.14645454545454584</v>
      </c>
      <c r="G31" s="29">
        <f t="shared" si="4"/>
        <v>1.7415254621279432E-2</v>
      </c>
      <c r="H31" s="29">
        <f t="shared" si="5"/>
        <v>8.5072249140424272E-2</v>
      </c>
    </row>
    <row r="32" spans="1:8">
      <c r="A32">
        <v>430</v>
      </c>
      <c r="B32" s="26">
        <f t="shared" si="0"/>
        <v>58.831999999999994</v>
      </c>
      <c r="C32" s="26">
        <f t="shared" si="1"/>
        <v>55.470106712335337</v>
      </c>
      <c r="D32" s="26">
        <f t="shared" si="2"/>
        <v>54.341024442914069</v>
      </c>
      <c r="E32">
        <v>58</v>
      </c>
      <c r="F32" s="29">
        <f t="shared" si="3"/>
        <v>1.4344827586206787E-2</v>
      </c>
      <c r="G32" s="29">
        <f t="shared" si="4"/>
        <v>4.3618849787321778E-2</v>
      </c>
      <c r="H32" s="29">
        <f t="shared" si="5"/>
        <v>6.3085785466998806E-2</v>
      </c>
    </row>
    <row r="33" spans="1:15">
      <c r="A33">
        <v>390</v>
      </c>
      <c r="B33" s="26">
        <f t="shared" si="0"/>
        <v>73.015999999999991</v>
      </c>
      <c r="C33" s="26">
        <f t="shared" si="1"/>
        <v>66.829089531318985</v>
      </c>
      <c r="D33" s="26">
        <f t="shared" si="2"/>
        <v>66.372277135824447</v>
      </c>
      <c r="E33">
        <v>68</v>
      </c>
      <c r="F33" s="29">
        <f t="shared" si="3"/>
        <v>7.3764705882352816E-2</v>
      </c>
      <c r="G33" s="29">
        <f t="shared" si="4"/>
        <v>1.7219271598250221E-2</v>
      </c>
      <c r="H33" s="29">
        <f t="shared" si="5"/>
        <v>2.393710094375813E-2</v>
      </c>
    </row>
    <row r="34" spans="1:15">
      <c r="F34" s="30">
        <f>AVERAGE(F22:F33)</f>
        <v>9.6764585153975916E-2</v>
      </c>
      <c r="G34" s="30">
        <f>AVERAGE(G22:G33)</f>
        <v>5.8516741642875771E-2</v>
      </c>
      <c r="H34" s="30">
        <f>AVERAGE(H22:H33)</f>
        <v>7.17306196151654E-2</v>
      </c>
    </row>
    <row r="35" spans="1:15">
      <c r="A35" t="s">
        <v>83</v>
      </c>
    </row>
    <row r="36" spans="1:15">
      <c r="A36" t="s">
        <v>84</v>
      </c>
      <c r="B36" s="7">
        <v>250</v>
      </c>
      <c r="C36" t="s">
        <v>85</v>
      </c>
      <c r="F36" t="s">
        <v>92</v>
      </c>
      <c r="G36" t="s">
        <v>67</v>
      </c>
    </row>
    <row r="37" spans="1:15">
      <c r="A37" t="s">
        <v>86</v>
      </c>
      <c r="B37" s="31">
        <v>1000</v>
      </c>
      <c r="C37" t="s">
        <v>87</v>
      </c>
      <c r="G37" s="9">
        <f>B43</f>
        <v>831338.85314930137</v>
      </c>
    </row>
    <row r="38" spans="1:15">
      <c r="A38" t="s">
        <v>88</v>
      </c>
      <c r="B38" s="27">
        <f>D17*B37^D18</f>
        <v>11.084518041990686</v>
      </c>
      <c r="F38">
        <v>500</v>
      </c>
      <c r="G38" s="32">
        <f t="dataTable" ref="G38:G100" dt2D="0" dtr="0" r1="B37" ca="1"/>
        <v>1039972.9779989794</v>
      </c>
    </row>
    <row r="39" spans="1:15">
      <c r="A39" t="s">
        <v>89</v>
      </c>
      <c r="B39" s="27">
        <f>B38*100</f>
        <v>1108.4518041990686</v>
      </c>
      <c r="F39">
        <v>510</v>
      </c>
      <c r="G39" s="32">
        <v>1041468.8061629091</v>
      </c>
    </row>
    <row r="40" spans="1:15">
      <c r="F40">
        <v>520</v>
      </c>
      <c r="G40" s="32">
        <v>1042188.3139489595</v>
      </c>
    </row>
    <row r="41" spans="1:15">
      <c r="A41" t="s">
        <v>90</v>
      </c>
      <c r="B41" s="9">
        <f>B39*B36</f>
        <v>277112.95104976714</v>
      </c>
      <c r="F41">
        <v>530</v>
      </c>
      <c r="G41" s="32">
        <v>1042213.0017719698</v>
      </c>
    </row>
    <row r="42" spans="1:15">
      <c r="A42" t="s">
        <v>55</v>
      </c>
      <c r="B42" s="7">
        <f>B39*B37</f>
        <v>1108451.8041990686</v>
      </c>
      <c r="F42">
        <v>540</v>
      </c>
      <c r="G42" s="32">
        <v>1041615.7035724644</v>
      </c>
    </row>
    <row r="43" spans="1:15">
      <c r="A43" t="s">
        <v>91</v>
      </c>
      <c r="B43" s="9">
        <f>B42-B41</f>
        <v>831338.85314930137</v>
      </c>
      <c r="F43">
        <v>550</v>
      </c>
      <c r="G43" s="32">
        <v>1040461.6031350964</v>
      </c>
    </row>
    <row r="44" spans="1:15">
      <c r="F44">
        <v>560</v>
      </c>
      <c r="G44" s="32">
        <v>1038809.1179690239</v>
      </c>
    </row>
    <row r="45" spans="1:15">
      <c r="F45">
        <v>570</v>
      </c>
      <c r="G45" s="32">
        <v>1036710.669808225</v>
      </c>
    </row>
    <row r="46" spans="1:15">
      <c r="F46">
        <v>580</v>
      </c>
      <c r="G46" s="32">
        <v>1034213.3577876764</v>
      </c>
      <c r="J46" s="9">
        <f>B43</f>
        <v>831338.85314930137</v>
      </c>
      <c r="K46">
        <v>250</v>
      </c>
      <c r="L46">
        <v>300</v>
      </c>
      <c r="M46">
        <v>350</v>
      </c>
      <c r="N46">
        <v>400</v>
      </c>
      <c r="O46">
        <v>500</v>
      </c>
    </row>
    <row r="47" spans="1:15">
      <c r="F47">
        <v>590</v>
      </c>
      <c r="G47" s="32">
        <v>1031359.5478624469</v>
      </c>
      <c r="I47" t="s">
        <v>92</v>
      </c>
      <c r="J47">
        <v>500</v>
      </c>
      <c r="K47" s="32">
        <f t="dataTable" ref="K47:O109" dt2D="1" dtr="1" r1="B36" r2="B37"/>
        <v>1039972.9779989794</v>
      </c>
      <c r="L47" s="32">
        <v>831978.3823991837</v>
      </c>
      <c r="M47" s="32">
        <v>623983.78679938777</v>
      </c>
      <c r="N47" s="32">
        <v>415989.19119959185</v>
      </c>
      <c r="O47" s="32">
        <v>0</v>
      </c>
    </row>
    <row r="48" spans="1:15">
      <c r="F48">
        <v>600</v>
      </c>
      <c r="G48" s="32">
        <v>1028187.3899667513</v>
      </c>
      <c r="J48">
        <v>510</v>
      </c>
      <c r="K48" s="32">
        <v>1041468.8061629091</v>
      </c>
      <c r="L48" s="32">
        <v>841186.34343927284</v>
      </c>
      <c r="M48" s="32">
        <v>640903.8807156363</v>
      </c>
      <c r="N48" s="32">
        <v>440621.417992</v>
      </c>
      <c r="O48" s="32">
        <v>40056.4925447274</v>
      </c>
    </row>
    <row r="49" spans="6:15">
      <c r="F49">
        <v>610</v>
      </c>
      <c r="G49" s="32">
        <v>1024731.2726827315</v>
      </c>
      <c r="J49">
        <v>520</v>
      </c>
      <c r="K49" s="32">
        <v>1042188.3139489595</v>
      </c>
      <c r="L49" s="32">
        <v>849190.47803248558</v>
      </c>
      <c r="M49" s="32">
        <v>656192.64211601159</v>
      </c>
      <c r="N49" s="32">
        <v>463194.80619953759</v>
      </c>
      <c r="O49" s="32">
        <v>77199.134366589598</v>
      </c>
    </row>
    <row r="50" spans="6:15">
      <c r="F50">
        <v>620</v>
      </c>
      <c r="G50" s="32">
        <v>1021022.2237432048</v>
      </c>
      <c r="J50">
        <v>530</v>
      </c>
      <c r="K50" s="32">
        <v>1042213.0017719698</v>
      </c>
      <c r="L50" s="32">
        <v>856103.53716983227</v>
      </c>
      <c r="M50" s="32">
        <v>669994.07256769482</v>
      </c>
      <c r="N50" s="32">
        <v>483884.60796555737</v>
      </c>
      <c r="O50" s="32">
        <v>111665.67876128247</v>
      </c>
    </row>
    <row r="51" spans="6:15">
      <c r="F51">
        <v>630</v>
      </c>
      <c r="G51" s="32">
        <v>1017088.2634793159</v>
      </c>
      <c r="J51">
        <v>540</v>
      </c>
      <c r="K51" s="32">
        <v>1041615.7035724644</v>
      </c>
      <c r="L51" s="32">
        <v>862026.78916341881</v>
      </c>
      <c r="M51" s="32">
        <v>682437.87475437322</v>
      </c>
      <c r="N51" s="32">
        <v>502848.96034532762</v>
      </c>
      <c r="O51" s="32">
        <v>143671.13152723666</v>
      </c>
    </row>
    <row r="52" spans="6:15">
      <c r="F52">
        <v>640</v>
      </c>
      <c r="G52" s="32">
        <v>1012954.7173026291</v>
      </c>
      <c r="J52">
        <v>550</v>
      </c>
      <c r="K52" s="32">
        <v>1040461.6031350964</v>
      </c>
      <c r="L52" s="32">
        <v>867051.33594591368</v>
      </c>
      <c r="M52" s="32">
        <v>693641.06875673099</v>
      </c>
      <c r="N52" s="32">
        <v>520230.80156754819</v>
      </c>
      <c r="O52" s="32">
        <v>173410.26718918281</v>
      </c>
    </row>
    <row r="53" spans="6:15">
      <c r="F53">
        <v>650</v>
      </c>
      <c r="G53" s="32">
        <v>1008644.4924491229</v>
      </c>
      <c r="J53">
        <v>560</v>
      </c>
      <c r="K53" s="32">
        <v>1038809.1179690239</v>
      </c>
      <c r="L53" s="32">
        <v>871259.26023208455</v>
      </c>
      <c r="M53" s="32">
        <v>703709.4024951451</v>
      </c>
      <c r="N53" s="32">
        <v>536159.544758206</v>
      </c>
      <c r="O53" s="32">
        <v>201059.82928432734</v>
      </c>
    </row>
    <row r="54" spans="6:15">
      <c r="F54">
        <v>660</v>
      </c>
      <c r="G54" s="32">
        <v>1004178.3234829371</v>
      </c>
      <c r="J54">
        <v>570</v>
      </c>
      <c r="K54" s="32">
        <v>1036710.669808225</v>
      </c>
      <c r="L54" s="32">
        <v>874724.6276506898</v>
      </c>
      <c r="M54" s="32">
        <v>712738.58549315459</v>
      </c>
      <c r="N54" s="32">
        <v>550752.54333561938</v>
      </c>
      <c r="O54" s="32">
        <v>226780.4590205492</v>
      </c>
    </row>
    <row r="55" spans="6:15">
      <c r="F55">
        <v>670</v>
      </c>
      <c r="G55" s="32">
        <v>999574.99043870345</v>
      </c>
      <c r="J55">
        <v>580</v>
      </c>
      <c r="K55" s="32">
        <v>1034213.3577876764</v>
      </c>
      <c r="L55" s="32">
        <v>877514.36418348295</v>
      </c>
      <c r="M55" s="32">
        <v>720815.37057928951</v>
      </c>
      <c r="N55" s="32">
        <v>564116.37697509606</v>
      </c>
      <c r="O55" s="32">
        <v>250718.38976670941</v>
      </c>
    </row>
    <row r="56" spans="6:15">
      <c r="F56">
        <v>680</v>
      </c>
      <c r="G56" s="32">
        <v>994851.51295467373</v>
      </c>
      <c r="J56">
        <v>590</v>
      </c>
      <c r="K56" s="32">
        <v>1031359.5478624469</v>
      </c>
      <c r="L56" s="32">
        <v>879689.02611796942</v>
      </c>
      <c r="M56" s="32">
        <v>728018.50437349197</v>
      </c>
      <c r="N56" s="32">
        <v>576347.98262901441</v>
      </c>
      <c r="O56" s="32">
        <v>273006.93914005952</v>
      </c>
    </row>
    <row r="57" spans="6:15">
      <c r="F57">
        <v>690</v>
      </c>
      <c r="G57" s="32">
        <v>990023.32329994719</v>
      </c>
      <c r="J57">
        <v>600</v>
      </c>
      <c r="K57" s="32">
        <v>1028187.3899667513</v>
      </c>
      <c r="L57" s="32">
        <v>881303.47711435833</v>
      </c>
      <c r="M57" s="32">
        <v>734419.56426196522</v>
      </c>
      <c r="N57" s="32">
        <v>587535.65140957222</v>
      </c>
      <c r="O57" s="32">
        <v>293767.825704786</v>
      </c>
    </row>
    <row r="58" spans="6:15">
      <c r="F58">
        <v>700</v>
      </c>
      <c r="G58" s="32">
        <v>985104.42081539321</v>
      </c>
      <c r="J58">
        <v>610</v>
      </c>
      <c r="K58" s="32">
        <v>1024731.2726827315</v>
      </c>
      <c r="L58" s="32">
        <v>882407.48481012986</v>
      </c>
      <c r="M58" s="32">
        <v>740083.69693752832</v>
      </c>
      <c r="N58" s="32">
        <v>597759.90906492667</v>
      </c>
      <c r="O58" s="32">
        <v>313112.33331972361</v>
      </c>
    </row>
    <row r="59" spans="6:15">
      <c r="F59">
        <v>710</v>
      </c>
      <c r="G59" s="32">
        <v>980107.50995916908</v>
      </c>
      <c r="J59">
        <v>620</v>
      </c>
      <c r="K59" s="32">
        <v>1021022.2237432048</v>
      </c>
      <c r="L59" s="32">
        <v>883046.24756169063</v>
      </c>
      <c r="M59" s="32">
        <v>745070.27138017653</v>
      </c>
      <c r="N59" s="32">
        <v>607094.29519866221</v>
      </c>
      <c r="O59" s="32">
        <v>331142.34283563402</v>
      </c>
    </row>
    <row r="60" spans="6:15">
      <c r="F60">
        <v>720</v>
      </c>
      <c r="G60" s="32">
        <v>975044.1238656675</v>
      </c>
      <c r="J60">
        <v>630</v>
      </c>
      <c r="K60" s="32">
        <v>1017088.2634793159</v>
      </c>
      <c r="L60" s="32">
        <v>883260.86038993229</v>
      </c>
      <c r="M60" s="32">
        <v>749433.45730054856</v>
      </c>
      <c r="N60" s="32">
        <v>615606.05421116482</v>
      </c>
      <c r="O60" s="32">
        <v>347951.24803239759</v>
      </c>
    </row>
    <row r="61" spans="6:15">
      <c r="F61">
        <v>730</v>
      </c>
      <c r="G61" s="32">
        <v>969924.73508398188</v>
      </c>
      <c r="J61">
        <v>640</v>
      </c>
      <c r="K61" s="32">
        <v>1012954.7173026291</v>
      </c>
      <c r="L61" s="32">
        <v>883088.7279048562</v>
      </c>
      <c r="M61" s="32">
        <v>753222.73850708327</v>
      </c>
      <c r="N61" s="32">
        <v>623356.74910931021</v>
      </c>
      <c r="O61" s="32">
        <v>363624.77031376422</v>
      </c>
    </row>
    <row r="62" spans="6:15">
      <c r="F62">
        <v>740</v>
      </c>
      <c r="G62" s="32">
        <v>964758.8549528002</v>
      </c>
      <c r="J62">
        <v>650</v>
      </c>
      <c r="K62" s="32">
        <v>1008644.4924491229</v>
      </c>
      <c r="L62" s="32">
        <v>882563.93089298252</v>
      </c>
      <c r="M62" s="32">
        <v>756483.36933684221</v>
      </c>
      <c r="N62" s="32">
        <v>630402.80778070178</v>
      </c>
      <c r="O62" s="32">
        <v>378241.68466842105</v>
      </c>
    </row>
    <row r="63" spans="6:15">
      <c r="F63">
        <v>750</v>
      </c>
      <c r="G63" s="32">
        <v>959555.12288789009</v>
      </c>
      <c r="J63">
        <v>660</v>
      </c>
      <c r="K63" s="32">
        <v>1004178.3234829371</v>
      </c>
      <c r="L63" s="32">
        <v>881717.55232648132</v>
      </c>
      <c r="M63" s="32">
        <v>759256.78117002558</v>
      </c>
      <c r="N63" s="32">
        <v>636796.01001356984</v>
      </c>
      <c r="O63" s="32">
        <v>391874.46770065837</v>
      </c>
    </row>
    <row r="64" spans="6:15">
      <c r="F64">
        <v>760</v>
      </c>
      <c r="G64" s="32">
        <v>954321.38670201262</v>
      </c>
      <c r="J64">
        <v>670</v>
      </c>
      <c r="K64" s="32">
        <v>999574.99043870345</v>
      </c>
      <c r="L64" s="32">
        <v>880577.96776742931</v>
      </c>
      <c r="M64" s="32">
        <v>761580.94509615505</v>
      </c>
      <c r="N64" s="32">
        <v>642583.92242488079</v>
      </c>
      <c r="O64" s="32">
        <v>404589.87708233227</v>
      </c>
    </row>
    <row r="65" spans="6:15">
      <c r="F65">
        <v>770</v>
      </c>
      <c r="G65" s="32">
        <v>949064.7749414182</v>
      </c>
      <c r="J65">
        <v>680</v>
      </c>
      <c r="K65" s="32">
        <v>994851.51295467373</v>
      </c>
      <c r="L65" s="32">
        <v>879171.10447157209</v>
      </c>
      <c r="M65" s="32">
        <v>763490.69598847057</v>
      </c>
      <c r="N65" s="32">
        <v>647810.28750536893</v>
      </c>
      <c r="O65" s="32">
        <v>416449.47053916566</v>
      </c>
    </row>
    <row r="66" spans="6:15">
      <c r="F66">
        <v>780</v>
      </c>
      <c r="G66" s="32">
        <v>943791.76210536808</v>
      </c>
      <c r="J66">
        <v>690</v>
      </c>
      <c r="K66" s="32">
        <v>990023.32329994719</v>
      </c>
      <c r="L66" s="32">
        <v>877520.67292495316</v>
      </c>
      <c r="M66" s="32">
        <v>765018.02254995925</v>
      </c>
      <c r="N66" s="32">
        <v>652515.37217496522</v>
      </c>
      <c r="O66" s="32">
        <v>427510.07142497716</v>
      </c>
    </row>
    <row r="67" spans="6:15">
      <c r="F67">
        <v>790</v>
      </c>
      <c r="G67" s="32">
        <v>938508.22751260083</v>
      </c>
      <c r="J67">
        <v>700</v>
      </c>
      <c r="K67" s="32">
        <v>985104.42081539321</v>
      </c>
      <c r="L67" s="32">
        <v>875648.37405812729</v>
      </c>
      <c r="M67" s="32">
        <v>766192.32730086136</v>
      </c>
      <c r="N67" s="32">
        <v>656736.28054359555</v>
      </c>
      <c r="O67" s="32">
        <v>437824.1870290637</v>
      </c>
    </row>
    <row r="68" spans="6:15">
      <c r="F68">
        <v>800</v>
      </c>
      <c r="G68" s="32">
        <v>933219.50848926988</v>
      </c>
      <c r="J68">
        <v>710</v>
      </c>
      <c r="K68" s="32">
        <v>980107.50995916908</v>
      </c>
      <c r="L68" s="32">
        <v>873574.08496360714</v>
      </c>
      <c r="M68" s="32">
        <v>767040.65996804531</v>
      </c>
      <c r="N68" s="32">
        <v>660507.23497248348</v>
      </c>
      <c r="O68" s="32">
        <v>447440.38498135982</v>
      </c>
    </row>
    <row r="69" spans="6:15">
      <c r="F69">
        <v>810</v>
      </c>
      <c r="G69" s="32">
        <v>927930.44847494666</v>
      </c>
      <c r="J69">
        <v>720</v>
      </c>
      <c r="K69" s="32">
        <v>975044.1238656675</v>
      </c>
      <c r="L69" s="32">
        <v>871316.02558208595</v>
      </c>
      <c r="M69" s="32">
        <v>767587.92729850428</v>
      </c>
      <c r="N69" s="32">
        <v>663859.82901492261</v>
      </c>
      <c r="O69" s="32">
        <v>456403.63244775927</v>
      </c>
    </row>
    <row r="70" spans="6:15">
      <c r="F70">
        <v>820</v>
      </c>
      <c r="G70" s="32">
        <v>922645.44057495799</v>
      </c>
      <c r="J70">
        <v>730</v>
      </c>
      <c r="K70" s="32">
        <v>969924.73508398188</v>
      </c>
      <c r="L70" s="32">
        <v>868890.90851273388</v>
      </c>
      <c r="M70" s="32">
        <v>767857.08194148575</v>
      </c>
      <c r="N70" s="32">
        <v>666823.25537023752</v>
      </c>
      <c r="O70" s="32">
        <v>464755.60222774127</v>
      </c>
    </row>
    <row r="71" spans="6:15">
      <c r="F71">
        <v>830</v>
      </c>
      <c r="G71" s="32">
        <v>917368.46702761366</v>
      </c>
      <c r="J71">
        <v>740</v>
      </c>
      <c r="K71" s="32">
        <v>964758.8549528002</v>
      </c>
      <c r="L71" s="32">
        <v>866314.07383516757</v>
      </c>
      <c r="M71" s="32">
        <v>767869.29271753482</v>
      </c>
      <c r="N71" s="32">
        <v>669424.51159990218</v>
      </c>
      <c r="O71" s="32">
        <v>472534.94936463679</v>
      </c>
    </row>
    <row r="72" spans="6:15">
      <c r="F72">
        <v>840</v>
      </c>
      <c r="G72" s="32">
        <v>912103.13500239153</v>
      </c>
      <c r="J72">
        <v>750</v>
      </c>
      <c r="K72" s="32">
        <v>959555.12288789009</v>
      </c>
      <c r="L72" s="32">
        <v>863599.61059910117</v>
      </c>
      <c r="M72" s="32">
        <v>767644.09831031214</v>
      </c>
      <c r="N72" s="32">
        <v>671688.58602152311</v>
      </c>
      <c r="O72" s="32">
        <v>479777.56144394504</v>
      </c>
    </row>
    <row r="73" spans="6:15">
      <c r="F73">
        <v>850</v>
      </c>
      <c r="G73" s="32">
        <v>906852.70909909625</v>
      </c>
      <c r="J73">
        <v>760</v>
      </c>
      <c r="K73" s="32">
        <v>954321.38670201262</v>
      </c>
      <c r="L73" s="32">
        <v>860760.4664371094</v>
      </c>
      <c r="M73" s="32">
        <v>767199.54617220617</v>
      </c>
      <c r="N73" s="32">
        <v>673638.62590730307</v>
      </c>
      <c r="O73" s="32">
        <v>486516.78537749662</v>
      </c>
    </row>
    <row r="74" spans="6:15">
      <c r="F74">
        <v>860</v>
      </c>
      <c r="G74" s="32">
        <v>901620.14087741717</v>
      </c>
      <c r="J74">
        <v>770</v>
      </c>
      <c r="K74" s="32">
        <v>949064.7749414182</v>
      </c>
      <c r="L74" s="32">
        <v>857808.54658166645</v>
      </c>
      <c r="M74" s="32">
        <v>766552.3182219147</v>
      </c>
      <c r="N74" s="32">
        <v>675296.08986216295</v>
      </c>
      <c r="O74" s="32">
        <v>492783.63314265944</v>
      </c>
    </row>
    <row r="75" spans="6:15">
      <c r="F75">
        <v>870</v>
      </c>
      <c r="G75" s="32">
        <v>896408.09571059258</v>
      </c>
      <c r="J75">
        <v>780</v>
      </c>
      <c r="K75" s="32">
        <v>943791.76210536808</v>
      </c>
      <c r="L75" s="32">
        <v>854754.80341618229</v>
      </c>
      <c r="M75" s="32">
        <v>765717.84472699661</v>
      </c>
      <c r="N75" s="32">
        <v>676680.88603781094</v>
      </c>
      <c r="O75" s="32">
        <v>498606.96865943971</v>
      </c>
    </row>
    <row r="76" spans="6:15">
      <c r="F76">
        <v>880</v>
      </c>
      <c r="G76" s="32">
        <v>891218.97722535138</v>
      </c>
      <c r="J76">
        <v>790</v>
      </c>
      <c r="K76" s="32">
        <v>938508.22751260083</v>
      </c>
      <c r="L76" s="32">
        <v>851609.31755773036</v>
      </c>
      <c r="M76" s="32">
        <v>764710.40760285989</v>
      </c>
      <c r="N76" s="32">
        <v>677811.49764798942</v>
      </c>
      <c r="O76" s="32">
        <v>504013.67773824849</v>
      </c>
    </row>
    <row r="77" spans="6:15">
      <c r="F77">
        <v>890</v>
      </c>
      <c r="G77" s="32">
        <v>886054.94956237264</v>
      </c>
      <c r="J77">
        <v>800</v>
      </c>
      <c r="K77" s="32">
        <v>933219.50848926988</v>
      </c>
      <c r="L77" s="32">
        <v>848381.37135388167</v>
      </c>
      <c r="M77" s="32">
        <v>763543.23421849345</v>
      </c>
      <c r="N77" s="32">
        <v>678705.09708310536</v>
      </c>
      <c r="O77" s="32">
        <v>509028.82281232905</v>
      </c>
    </row>
    <row r="78" spans="6:15">
      <c r="F78">
        <v>900</v>
      </c>
      <c r="G78" s="32">
        <v>880917.95766693447</v>
      </c>
      <c r="J78">
        <v>810</v>
      </c>
      <c r="K78" s="32">
        <v>927930.44847494666</v>
      </c>
      <c r="L78" s="32">
        <v>845079.51557539788</v>
      </c>
      <c r="M78" s="32">
        <v>762228.58267584909</v>
      </c>
      <c r="N78" s="32">
        <v>679377.6497763003</v>
      </c>
      <c r="O78" s="32">
        <v>513675.78397720261</v>
      </c>
    </row>
    <row r="79" spans="6:15">
      <c r="F79">
        <v>910</v>
      </c>
      <c r="G79" s="32">
        <v>875809.74579744879</v>
      </c>
      <c r="J79">
        <v>820</v>
      </c>
      <c r="K79" s="32">
        <v>922645.44057495799</v>
      </c>
      <c r="L79" s="32">
        <v>841711.62999820733</v>
      </c>
      <c r="M79" s="32">
        <v>760777.81942145666</v>
      </c>
      <c r="N79" s="32">
        <v>679844.00884470588</v>
      </c>
      <c r="O79" s="32">
        <v>517976.38769120455</v>
      </c>
    </row>
    <row r="80" spans="6:15">
      <c r="F80">
        <v>920</v>
      </c>
      <c r="G80" s="32">
        <v>870731.87442029815</v>
      </c>
      <c r="J80">
        <v>830</v>
      </c>
      <c r="K80" s="32">
        <v>917368.46702761366</v>
      </c>
      <c r="L80" s="32">
        <v>838284.97849075054</v>
      </c>
      <c r="M80" s="32">
        <v>759201.48995388718</v>
      </c>
      <c r="N80" s="32">
        <v>680118.00141702394</v>
      </c>
      <c r="O80" s="32">
        <v>521951.02434329747</v>
      </c>
    </row>
    <row r="81" spans="6:15">
      <c r="F81">
        <v>930</v>
      </c>
      <c r="G81" s="32">
        <v>865685.73564207088</v>
      </c>
      <c r="J81">
        <v>840</v>
      </c>
      <c r="K81" s="32">
        <v>912103.13500239153</v>
      </c>
      <c r="L81" s="32">
        <v>834806.25915473117</v>
      </c>
      <c r="M81" s="32">
        <v>757509.38330707094</v>
      </c>
      <c r="N81" s="32">
        <v>680212.50745941058</v>
      </c>
      <c r="O81" s="32">
        <v>525618.75576408999</v>
      </c>
    </row>
    <row r="82" spans="6:15">
      <c r="F82">
        <v>940</v>
      </c>
      <c r="G82" s="32">
        <v>860672.56731504342</v>
      </c>
      <c r="J82">
        <v>850</v>
      </c>
      <c r="K82" s="32">
        <v>906852.70909909625</v>
      </c>
      <c r="L82" s="32">
        <v>831281.65000750497</v>
      </c>
      <c r="M82" s="32">
        <v>755710.59091591358</v>
      </c>
      <c r="N82" s="32">
        <v>680139.53182432218</v>
      </c>
      <c r="O82" s="32">
        <v>528997.41364113952</v>
      </c>
    </row>
    <row r="83" spans="6:15">
      <c r="F83">
        <v>950</v>
      </c>
      <c r="G83" s="32">
        <v>855693.46593807475</v>
      </c>
      <c r="J83">
        <v>860</v>
      </c>
      <c r="K83" s="32">
        <v>901620.14087741717</v>
      </c>
      <c r="L83" s="32">
        <v>827716.8506415633</v>
      </c>
      <c r="M83" s="32">
        <v>753813.56040570955</v>
      </c>
      <c r="N83" s="32">
        <v>679910.27016985556</v>
      </c>
      <c r="O83" s="32">
        <v>532103.68969814782</v>
      </c>
    </row>
    <row r="84" spans="6:15">
      <c r="F84">
        <v>960</v>
      </c>
      <c r="G84" s="32">
        <v>850749.39846291335</v>
      </c>
      <c r="J84">
        <v>870</v>
      </c>
      <c r="K84" s="32">
        <v>896408.09571059258</v>
      </c>
      <c r="L84" s="32">
        <v>824117.12025006092</v>
      </c>
      <c r="M84" s="32">
        <v>751826.14478952927</v>
      </c>
      <c r="N84" s="32">
        <v>679535.16932899761</v>
      </c>
      <c r="O84" s="32">
        <v>534953.2184079343</v>
      </c>
    </row>
    <row r="85" spans="6:15">
      <c r="F85">
        <v>970</v>
      </c>
      <c r="G85" s="32">
        <v>845841.21310510824</v>
      </c>
      <c r="J85">
        <v>880</v>
      </c>
      <c r="K85" s="32">
        <v>891218.97722535138</v>
      </c>
      <c r="L85" s="32">
        <v>820487.31236619642</v>
      </c>
      <c r="M85" s="32">
        <v>749755.64750704158</v>
      </c>
      <c r="N85" s="32">
        <v>679023.98264788673</v>
      </c>
      <c r="O85" s="32">
        <v>537560.65292957693</v>
      </c>
    </row>
    <row r="86" spans="6:15">
      <c r="F86">
        <v>980</v>
      </c>
      <c r="G86" s="32">
        <v>840969.6492489638</v>
      </c>
      <c r="J86">
        <v>890</v>
      </c>
      <c r="K86" s="32">
        <v>886054.94956237264</v>
      </c>
      <c r="L86" s="32">
        <v>816831.90662781219</v>
      </c>
      <c r="M86" s="32">
        <v>747608.86369325186</v>
      </c>
      <c r="N86" s="32">
        <v>678385.82075869152</v>
      </c>
      <c r="O86" s="32">
        <v>539939.73488957086</v>
      </c>
    </row>
    <row r="87" spans="6:15">
      <c r="F87">
        <v>990</v>
      </c>
      <c r="G87" s="32">
        <v>836135.34652733605</v>
      </c>
      <c r="J87">
        <v>900</v>
      </c>
      <c r="K87" s="32">
        <v>880917.95766693447</v>
      </c>
      <c r="L87" s="32">
        <v>813155.03784640098</v>
      </c>
      <c r="M87" s="32">
        <v>745392.11802586762</v>
      </c>
      <c r="N87" s="32">
        <v>677629.19820533413</v>
      </c>
      <c r="O87" s="32">
        <v>542103.35856426728</v>
      </c>
    </row>
    <row r="88" spans="6:15">
      <c r="F88">
        <v>1000</v>
      </c>
      <c r="G88" s="32">
        <v>831338.85314930137</v>
      </c>
      <c r="J88">
        <v>910</v>
      </c>
      <c r="K88" s="32">
        <v>875809.74579744879</v>
      </c>
      <c r="L88" s="32">
        <v>809460.52263097535</v>
      </c>
      <c r="M88" s="32">
        <v>743111.29946450202</v>
      </c>
      <c r="N88" s="32">
        <v>676762.07629802858</v>
      </c>
      <c r="O88" s="32">
        <v>544063.62996508181</v>
      </c>
    </row>
    <row r="89" spans="6:15">
      <c r="F89">
        <v>1010</v>
      </c>
      <c r="G89" s="32">
        <v>826580.6335417449</v>
      </c>
      <c r="J89">
        <v>920</v>
      </c>
      <c r="K89" s="32">
        <v>870731.87442029815</v>
      </c>
      <c r="L89" s="32">
        <v>805751.8837919177</v>
      </c>
      <c r="M89" s="32">
        <v>740771.89316353726</v>
      </c>
      <c r="N89" s="32">
        <v>675791.90253515681</v>
      </c>
      <c r="O89" s="32">
        <v>545831.92127839592</v>
      </c>
    </row>
    <row r="90" spans="6:15">
      <c r="F90">
        <v>1020</v>
      </c>
      <c r="G90" s="32">
        <v>821861.07536470343</v>
      </c>
      <c r="J90">
        <v>930</v>
      </c>
      <c r="K90" s="32">
        <v>865685.73564207088</v>
      </c>
      <c r="L90" s="32">
        <v>802032.37272721273</v>
      </c>
      <c r="M90" s="32">
        <v>738379.00981235458</v>
      </c>
      <c r="N90" s="32">
        <v>674725.64689749642</v>
      </c>
      <c r="O90" s="32">
        <v>547418.92106778012</v>
      </c>
    </row>
    <row r="91" spans="6:15">
      <c r="F91">
        <v>1030</v>
      </c>
      <c r="G91" s="32">
        <v>817180.49595467013</v>
      </c>
      <c r="J91">
        <v>940</v>
      </c>
      <c r="K91" s="32">
        <v>860672.56731504342</v>
      </c>
      <c r="L91" s="32">
        <v>798304.98997337348</v>
      </c>
      <c r="M91" s="32">
        <v>735937.41263170377</v>
      </c>
      <c r="N91" s="32">
        <v>673569.83529003384</v>
      </c>
      <c r="O91" s="32">
        <v>548834.68060669431</v>
      </c>
    </row>
    <row r="92" spans="6:15">
      <c r="F92">
        <v>1040</v>
      </c>
      <c r="G92" s="32">
        <v>812539.14824501297</v>
      </c>
      <c r="J92">
        <v>950</v>
      </c>
      <c r="K92" s="32">
        <v>855693.46593807475</v>
      </c>
      <c r="L92" s="32">
        <v>794572.50408535521</v>
      </c>
      <c r="M92" s="32">
        <v>733451.54223263543</v>
      </c>
      <c r="N92" s="32">
        <v>672330.58037991589</v>
      </c>
      <c r="O92" s="32">
        <v>550088.65667447657</v>
      </c>
    </row>
    <row r="93" spans="6:15">
      <c r="F93">
        <v>1050</v>
      </c>
      <c r="G93" s="32">
        <v>807937.22620815388</v>
      </c>
      <c r="J93">
        <v>960</v>
      </c>
      <c r="K93" s="32">
        <v>850749.39846291335</v>
      </c>
      <c r="L93" s="32">
        <v>790837.46899369406</v>
      </c>
      <c r="M93" s="32">
        <v>730925.53952447488</v>
      </c>
      <c r="N93" s="32">
        <v>671013.61005525559</v>
      </c>
      <c r="O93" s="32">
        <v>551189.75111681712</v>
      </c>
    </row>
    <row r="94" spans="6:15">
      <c r="F94">
        <v>1060</v>
      </c>
      <c r="G94" s="32">
        <v>803374.86986003921</v>
      </c>
      <c r="J94">
        <v>970</v>
      </c>
      <c r="K94" s="32">
        <v>845841.21310510824</v>
      </c>
      <c r="L94" s="32">
        <v>787102.2399728091</v>
      </c>
      <c r="M94" s="32">
        <v>728363.26684050984</v>
      </c>
      <c r="N94" s="32">
        <v>669624.29370821058</v>
      </c>
      <c r="O94" s="32">
        <v>552146.34744361229</v>
      </c>
    </row>
    <row r="95" spans="6:15">
      <c r="F95">
        <v>1070</v>
      </c>
      <c r="G95" s="32">
        <v>798852.16986378585</v>
      </c>
      <c r="J95">
        <v>980</v>
      </c>
      <c r="K95" s="32">
        <v>840969.6492489638</v>
      </c>
      <c r="L95" s="32">
        <v>783368.98834150052</v>
      </c>
      <c r="M95" s="32">
        <v>725768.32743403735</v>
      </c>
      <c r="N95" s="32">
        <v>668167.66652657394</v>
      </c>
      <c r="O95" s="32">
        <v>552966.34471164737</v>
      </c>
    </row>
    <row r="96" spans="6:15">
      <c r="F96">
        <v>1080</v>
      </c>
      <c r="G96" s="32">
        <v>794369.17176599521</v>
      </c>
      <c r="J96">
        <v>990</v>
      </c>
      <c r="K96" s="32">
        <v>836135.34652733605</v>
      </c>
      <c r="L96" s="32">
        <v>779639.71500521875</v>
      </c>
      <c r="M96" s="32">
        <v>723144.08348310145</v>
      </c>
      <c r="N96" s="32">
        <v>666648.45196098415</v>
      </c>
      <c r="O96" s="32">
        <v>553657.18891674955</v>
      </c>
    </row>
    <row r="97" spans="6:15">
      <c r="F97">
        <v>1090</v>
      </c>
      <c r="G97" s="32">
        <v>789925.8798963275</v>
      </c>
      <c r="J97">
        <v>1000</v>
      </c>
      <c r="K97" s="32">
        <v>831338.85314930137</v>
      </c>
      <c r="L97" s="32">
        <v>775916.262939348</v>
      </c>
      <c r="M97" s="32">
        <v>720493.67272939463</v>
      </c>
      <c r="N97" s="32">
        <v>665071.08251944114</v>
      </c>
      <c r="O97" s="32">
        <v>554225.90209953429</v>
      </c>
    </row>
    <row r="98" spans="6:15">
      <c r="F98">
        <v>1100</v>
      </c>
      <c r="G98" s="32">
        <v>785522.26095810602</v>
      </c>
      <c r="J98">
        <v>1010</v>
      </c>
      <c r="K98" s="32">
        <v>826580.6335417449</v>
      </c>
      <c r="L98" s="32">
        <v>772200.32870347216</v>
      </c>
      <c r="M98" s="32">
        <v>717820.02386519953</v>
      </c>
      <c r="N98" s="32">
        <v>663439.71902692679</v>
      </c>
      <c r="O98" s="32">
        <v>554679.10935038142</v>
      </c>
    </row>
    <row r="99" spans="6:15">
      <c r="F99">
        <v>1110</v>
      </c>
      <c r="G99" s="32">
        <v>781158.24733535526</v>
      </c>
      <c r="J99">
        <v>1020</v>
      </c>
      <c r="K99" s="32">
        <v>821861.07536470343</v>
      </c>
      <c r="L99" s="32">
        <v>768493.47306829412</v>
      </c>
      <c r="M99" s="32">
        <v>715125.8707718848</v>
      </c>
      <c r="N99" s="32">
        <v>661758.26847547549</v>
      </c>
      <c r="O99" s="32">
        <v>555023.06388265686</v>
      </c>
    </row>
    <row r="100" spans="6:15">
      <c r="F100">
        <v>1120</v>
      </c>
      <c r="G100" s="32">
        <v>776833.74013940734</v>
      </c>
      <c r="J100">
        <v>1030</v>
      </c>
      <c r="K100" s="32">
        <v>817180.49595467013</v>
      </c>
      <c r="L100" s="32">
        <v>764797.13082937081</v>
      </c>
      <c r="M100" s="32">
        <v>712413.76570407138</v>
      </c>
      <c r="N100" s="32">
        <v>660030.40057877207</v>
      </c>
      <c r="O100" s="32">
        <v>555263.67032817332</v>
      </c>
    </row>
    <row r="101" spans="6:15">
      <c r="J101">
        <v>1040</v>
      </c>
      <c r="K101" s="32">
        <v>812539.14824501297</v>
      </c>
      <c r="L101" s="32">
        <v>761112.61987507541</v>
      </c>
      <c r="M101" s="32">
        <v>709686.09150513797</v>
      </c>
      <c r="N101" s="32">
        <v>658259.56313520041</v>
      </c>
      <c r="O101" s="32">
        <v>555406.5063953253</v>
      </c>
    </row>
    <row r="102" spans="6:15">
      <c r="J102">
        <v>1050</v>
      </c>
      <c r="K102" s="32">
        <v>807937.22620815388</v>
      </c>
      <c r="L102" s="32">
        <v>757441.14957014436</v>
      </c>
      <c r="M102" s="32">
        <v>706945.07293213473</v>
      </c>
      <c r="N102" s="32">
        <v>656448.9962941251</v>
      </c>
      <c r="O102" s="32">
        <v>555456.84301810584</v>
      </c>
    </row>
    <row r="103" spans="6:15">
      <c r="J103">
        <v>1060</v>
      </c>
      <c r="K103" s="32">
        <v>803374.86986003921</v>
      </c>
      <c r="L103" s="32">
        <v>753783.82851065416</v>
      </c>
      <c r="M103" s="32">
        <v>704192.78716126899</v>
      </c>
      <c r="N103" s="32">
        <v>654601.74581188383</v>
      </c>
      <c r="O103" s="32">
        <v>555419.66311311349</v>
      </c>
    </row>
    <row r="104" spans="6:15">
      <c r="J104">
        <v>1070</v>
      </c>
      <c r="K104" s="32">
        <v>798852.16986378585</v>
      </c>
      <c r="L104" s="32">
        <v>750141.67170135991</v>
      </c>
      <c r="M104" s="32">
        <v>701431.17353893397</v>
      </c>
      <c r="N104" s="32">
        <v>652720.67537650792</v>
      </c>
      <c r="O104" s="32">
        <v>555299.67905165604</v>
      </c>
    </row>
    <row r="105" spans="6:15">
      <c r="J105">
        <v>1080</v>
      </c>
      <c r="K105" s="32">
        <v>794369.17176599521</v>
      </c>
      <c r="L105" s="32">
        <v>746515.60720177856</v>
      </c>
      <c r="M105" s="32">
        <v>698662.04263756215</v>
      </c>
      <c r="N105" s="32">
        <v>650808.4780733455</v>
      </c>
      <c r="O105" s="32">
        <v>555101.34894491232</v>
      </c>
    </row>
    <row r="106" spans="6:15">
      <c r="J106">
        <v>1090</v>
      </c>
      <c r="K106" s="32">
        <v>789925.8798963275</v>
      </c>
      <c r="L106" s="32">
        <v>742906.4822834509</v>
      </c>
      <c r="M106" s="32">
        <v>695887.08467057417</v>
      </c>
      <c r="N106" s="32">
        <v>648867.68705769756</v>
      </c>
      <c r="O106" s="32">
        <v>554828.89183194435</v>
      </c>
    </row>
    <row r="107" spans="6:15">
      <c r="J107">
        <v>1100</v>
      </c>
      <c r="K107" s="32">
        <v>785522.26095810602</v>
      </c>
      <c r="L107" s="32">
        <v>739315.06913704099</v>
      </c>
      <c r="M107" s="32">
        <v>693107.87731597596</v>
      </c>
      <c r="N107" s="32">
        <v>646900.68549491081</v>
      </c>
      <c r="O107" s="32">
        <v>554486.30185278063</v>
      </c>
    </row>
    <row r="108" spans="6:15">
      <c r="J108">
        <v>1110</v>
      </c>
      <c r="K108" s="32">
        <v>781158.24733535526</v>
      </c>
      <c r="L108" s="32">
        <v>735742.07016469503</v>
      </c>
      <c r="M108" s="32">
        <v>690325.8929940348</v>
      </c>
      <c r="N108" s="32">
        <v>644909.71582337469</v>
      </c>
      <c r="O108" s="32">
        <v>554077.36148205423</v>
      </c>
    </row>
    <row r="109" spans="6:15">
      <c r="J109">
        <v>1120</v>
      </c>
      <c r="K109" s="32">
        <v>776833.74013940734</v>
      </c>
      <c r="L109" s="32">
        <v>732188.12289001606</v>
      </c>
      <c r="M109" s="32">
        <v>687542.50564062491</v>
      </c>
      <c r="N109" s="32">
        <v>642896.88839123363</v>
      </c>
      <c r="O109" s="32">
        <v>553605.6538924512</v>
      </c>
    </row>
  </sheetData>
  <mergeCells count="3">
    <mergeCell ref="A16:B16"/>
    <mergeCell ref="C16:D16"/>
    <mergeCell ref="E16:F16"/>
  </mergeCells>
  <conditionalFormatting sqref="K47:K109">
    <cfRule type="cellIs" dxfId="1" priority="1" operator="equal">
      <formula>MAX($K$47:$K$109)</formula>
    </cfRule>
    <cfRule type="cellIs" dxfId="0" priority="2" operator="equal">
      <formula>"max"</formula>
    </cfRule>
  </conditionalFormatting>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A8DA5-FF1B-47D5-825D-6158FE99F5E0}">
  <dimension ref="A1:F22"/>
  <sheetViews>
    <sheetView zoomScale="85" zoomScaleNormal="85" workbookViewId="0">
      <selection activeCell="B14" sqref="B14"/>
    </sheetView>
  </sheetViews>
  <sheetFormatPr defaultRowHeight="14.4"/>
  <cols>
    <col min="1" max="1" width="16.109375" customWidth="1"/>
    <col min="5" max="5" width="9.88671875" customWidth="1"/>
    <col min="6" max="6" width="17.109375" customWidth="1"/>
  </cols>
  <sheetData>
    <row r="1" spans="1:6">
      <c r="A1" t="s">
        <v>93</v>
      </c>
      <c r="E1" s="37" t="s">
        <v>103</v>
      </c>
      <c r="F1" s="37"/>
    </row>
    <row r="2" spans="1:6">
      <c r="A2" t="s">
        <v>94</v>
      </c>
      <c r="B2">
        <v>9.3000000000000007</v>
      </c>
      <c r="C2" t="s">
        <v>97</v>
      </c>
      <c r="E2" t="s">
        <v>104</v>
      </c>
      <c r="F2" t="s">
        <v>105</v>
      </c>
    </row>
    <row r="3" spans="1:6">
      <c r="A3" t="s">
        <v>95</v>
      </c>
      <c r="B3">
        <v>20</v>
      </c>
      <c r="C3" t="s">
        <v>98</v>
      </c>
      <c r="E3">
        <v>1</v>
      </c>
      <c r="F3" s="33">
        <f>B4</f>
        <v>1.2</v>
      </c>
    </row>
    <row r="4" spans="1:6">
      <c r="A4" t="s">
        <v>96</v>
      </c>
      <c r="B4">
        <v>1.2</v>
      </c>
      <c r="C4" t="s">
        <v>97</v>
      </c>
      <c r="E4">
        <v>2</v>
      </c>
      <c r="F4" s="33">
        <f>F3*(1+$B$6)</f>
        <v>1.32</v>
      </c>
    </row>
    <row r="5" spans="1:6">
      <c r="A5" t="s">
        <v>99</v>
      </c>
      <c r="B5">
        <v>8</v>
      </c>
      <c r="E5">
        <v>3</v>
      </c>
      <c r="F5" s="33">
        <f t="shared" ref="F5:F10" si="0">F4*(1+$B$6)</f>
        <v>1.4520000000000002</v>
      </c>
    </row>
    <row r="6" spans="1:6">
      <c r="A6" t="s">
        <v>100</v>
      </c>
      <c r="B6" s="21">
        <v>0.1</v>
      </c>
      <c r="E6">
        <v>4</v>
      </c>
      <c r="F6" s="33">
        <f t="shared" si="0"/>
        <v>1.5972000000000004</v>
      </c>
    </row>
    <row r="7" spans="1:6">
      <c r="A7" t="s">
        <v>101</v>
      </c>
      <c r="B7" s="21">
        <v>0.05</v>
      </c>
      <c r="E7">
        <v>5</v>
      </c>
      <c r="F7" s="33">
        <f t="shared" si="0"/>
        <v>1.7569200000000005</v>
      </c>
    </row>
    <row r="8" spans="1:6">
      <c r="E8">
        <v>6</v>
      </c>
      <c r="F8" s="33">
        <f t="shared" si="0"/>
        <v>1.9326120000000007</v>
      </c>
    </row>
    <row r="9" spans="1:6">
      <c r="A9" t="s">
        <v>102</v>
      </c>
      <c r="B9" s="21">
        <v>0.12</v>
      </c>
      <c r="E9">
        <v>7</v>
      </c>
      <c r="F9" s="33">
        <f t="shared" si="0"/>
        <v>2.1258732000000009</v>
      </c>
    </row>
    <row r="10" spans="1:6">
      <c r="E10">
        <v>8</v>
      </c>
      <c r="F10" s="33">
        <f t="shared" si="0"/>
        <v>2.3384605200000013</v>
      </c>
    </row>
    <row r="11" spans="1:6">
      <c r="A11" t="s">
        <v>106</v>
      </c>
      <c r="B11" s="34">
        <f>NPV(B9,F3:F22)</f>
        <v>12.600290735832388</v>
      </c>
      <c r="E11">
        <v>9</v>
      </c>
      <c r="F11" s="33">
        <f>F10*(1-$B$7)</f>
        <v>2.221537494000001</v>
      </c>
    </row>
    <row r="12" spans="1:6">
      <c r="A12" t="s">
        <v>94</v>
      </c>
      <c r="B12" s="33">
        <v>9.3000000000000007</v>
      </c>
      <c r="E12">
        <v>10</v>
      </c>
      <c r="F12" s="33">
        <f t="shared" ref="F12:F22" si="1">F11*(1-$B$7)</f>
        <v>2.1104606193000008</v>
      </c>
    </row>
    <row r="13" spans="1:6">
      <c r="A13" t="s">
        <v>107</v>
      </c>
      <c r="B13" s="34">
        <f>B11-B12</f>
        <v>3.3002907358323874</v>
      </c>
      <c r="E13">
        <v>11</v>
      </c>
      <c r="F13" s="33">
        <f t="shared" si="1"/>
        <v>2.0049375883350007</v>
      </c>
    </row>
    <row r="14" spans="1:6">
      <c r="E14">
        <v>12</v>
      </c>
      <c r="F14" s="33">
        <f t="shared" si="1"/>
        <v>1.9046907089182505</v>
      </c>
    </row>
    <row r="15" spans="1:6">
      <c r="E15">
        <v>13</v>
      </c>
      <c r="F15" s="33">
        <f t="shared" si="1"/>
        <v>1.809456173472338</v>
      </c>
    </row>
    <row r="16" spans="1:6">
      <c r="E16">
        <v>14</v>
      </c>
      <c r="F16" s="33">
        <f t="shared" si="1"/>
        <v>1.7189833647987209</v>
      </c>
    </row>
    <row r="17" spans="5:6">
      <c r="E17">
        <v>15</v>
      </c>
      <c r="F17" s="33">
        <f t="shared" si="1"/>
        <v>1.6330341965587849</v>
      </c>
    </row>
    <row r="18" spans="5:6">
      <c r="E18">
        <v>16</v>
      </c>
      <c r="F18" s="33">
        <f t="shared" si="1"/>
        <v>1.5513824867308457</v>
      </c>
    </row>
    <row r="19" spans="5:6">
      <c r="E19">
        <v>17</v>
      </c>
      <c r="F19" s="33">
        <f t="shared" si="1"/>
        <v>1.4738133623943033</v>
      </c>
    </row>
    <row r="20" spans="5:6">
      <c r="E20">
        <v>18</v>
      </c>
      <c r="F20" s="33">
        <f t="shared" si="1"/>
        <v>1.4001226942745881</v>
      </c>
    </row>
    <row r="21" spans="5:6">
      <c r="E21">
        <v>19</v>
      </c>
      <c r="F21" s="33">
        <f t="shared" si="1"/>
        <v>1.3301165595608586</v>
      </c>
    </row>
    <row r="22" spans="5:6">
      <c r="E22">
        <v>20</v>
      </c>
      <c r="F22" s="33">
        <f t="shared" si="1"/>
        <v>1.2636107315828156</v>
      </c>
    </row>
  </sheetData>
  <mergeCells count="1">
    <mergeCell ref="E1:F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2C62-8DF8-4166-AB92-7C05B6E0393D}">
  <dimension ref="A1:F12"/>
  <sheetViews>
    <sheetView workbookViewId="0">
      <selection activeCell="F1" sqref="F1"/>
    </sheetView>
  </sheetViews>
  <sheetFormatPr defaultRowHeight="14.4"/>
  <cols>
    <col min="1" max="1" width="14.33203125" customWidth="1"/>
    <col min="2" max="2" width="12.77734375" customWidth="1"/>
    <col min="3" max="3" width="11.77734375" customWidth="1"/>
  </cols>
  <sheetData>
    <row r="1" spans="1:6">
      <c r="B1" t="s">
        <v>109</v>
      </c>
      <c r="C1" t="s">
        <v>110</v>
      </c>
    </row>
    <row r="2" spans="1:6">
      <c r="A2" t="s">
        <v>108</v>
      </c>
      <c r="B2" s="20">
        <v>175</v>
      </c>
      <c r="C2" s="20">
        <v>10.000000000000007</v>
      </c>
    </row>
    <row r="3" spans="1:6">
      <c r="B3" s="20">
        <v>3000</v>
      </c>
      <c r="C3" s="20">
        <v>7000</v>
      </c>
      <c r="D3" t="s">
        <v>118</v>
      </c>
    </row>
    <row r="4" spans="1:6">
      <c r="A4" t="s">
        <v>111</v>
      </c>
      <c r="B4" s="20"/>
      <c r="C4" s="20"/>
    </row>
    <row r="5" spans="1:6">
      <c r="A5" t="s">
        <v>119</v>
      </c>
      <c r="B5" s="20">
        <f>SUMPRODUCT(B2:C2,B3:C3)</f>
        <v>595000</v>
      </c>
      <c r="C5" s="20"/>
    </row>
    <row r="8" spans="1:6">
      <c r="A8" s="13" t="s">
        <v>112</v>
      </c>
      <c r="B8" s="13"/>
      <c r="C8" s="13"/>
      <c r="D8" s="13" t="s">
        <v>114</v>
      </c>
      <c r="E8" s="13" t="s">
        <v>116</v>
      </c>
      <c r="F8" s="13" t="s">
        <v>115</v>
      </c>
    </row>
    <row r="9" spans="1:6">
      <c r="A9" s="13" t="s">
        <v>113</v>
      </c>
      <c r="B9" s="35">
        <v>200</v>
      </c>
      <c r="C9" s="35">
        <v>500</v>
      </c>
      <c r="D9" s="35">
        <f>SUMPRODUCT($B$2:$C$2,B9:C9)</f>
        <v>40000</v>
      </c>
      <c r="E9" s="35" t="s">
        <v>117</v>
      </c>
      <c r="F9" s="35">
        <v>40000</v>
      </c>
    </row>
    <row r="10" spans="1:6">
      <c r="A10" s="13" t="s">
        <v>120</v>
      </c>
      <c r="B10" s="35">
        <v>1</v>
      </c>
      <c r="C10" s="35"/>
      <c r="D10" s="35">
        <f t="shared" ref="D10:D12" si="0">SUMPRODUCT($B$2:$C$2,B10:C10)</f>
        <v>175</v>
      </c>
      <c r="E10" s="35" t="s">
        <v>122</v>
      </c>
      <c r="F10" s="35">
        <v>10</v>
      </c>
    </row>
    <row r="11" spans="1:6">
      <c r="A11" s="13" t="s">
        <v>121</v>
      </c>
      <c r="B11" s="35"/>
      <c r="C11" s="35">
        <v>1</v>
      </c>
      <c r="D11" s="35">
        <f t="shared" si="0"/>
        <v>10.000000000000007</v>
      </c>
      <c r="E11" s="35" t="s">
        <v>122</v>
      </c>
      <c r="F11" s="35">
        <v>10</v>
      </c>
    </row>
    <row r="12" spans="1:6">
      <c r="A12" s="13" t="s">
        <v>123</v>
      </c>
      <c r="B12" s="35">
        <v>1</v>
      </c>
      <c r="C12" s="35">
        <v>-1</v>
      </c>
      <c r="D12" s="35">
        <f t="shared" si="0"/>
        <v>165</v>
      </c>
      <c r="E12" s="35" t="s">
        <v>122</v>
      </c>
      <c r="F12" s="35">
        <v>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A838-8BD6-4380-BA60-2C301C2354DA}">
  <dimension ref="A1:F16"/>
  <sheetViews>
    <sheetView workbookViewId="0">
      <selection activeCell="H17" sqref="H17"/>
    </sheetView>
  </sheetViews>
  <sheetFormatPr defaultRowHeight="14.4"/>
  <cols>
    <col min="1" max="1" width="11.77734375" customWidth="1"/>
  </cols>
  <sheetData>
    <row r="1" spans="1:6">
      <c r="B1" t="s">
        <v>126</v>
      </c>
      <c r="C1" t="s">
        <v>127</v>
      </c>
      <c r="E1" t="s">
        <v>137</v>
      </c>
      <c r="F1" t="s">
        <v>134</v>
      </c>
    </row>
    <row r="2" spans="1:6">
      <c r="A2" t="s">
        <v>124</v>
      </c>
      <c r="B2">
        <v>560</v>
      </c>
      <c r="C2">
        <v>1200</v>
      </c>
      <c r="E2">
        <v>11</v>
      </c>
      <c r="F2">
        <v>15</v>
      </c>
    </row>
    <row r="4" spans="1:6">
      <c r="A4" t="s">
        <v>130</v>
      </c>
    </row>
    <row r="5" spans="1:6">
      <c r="A5" t="s">
        <v>26</v>
      </c>
      <c r="B5">
        <v>300</v>
      </c>
      <c r="C5">
        <v>450</v>
      </c>
      <c r="D5">
        <f>SUMPRODUCT(B2:C2,B5:C5)</f>
        <v>708000</v>
      </c>
    </row>
    <row r="6" spans="1:6">
      <c r="A6" t="s">
        <v>131</v>
      </c>
      <c r="D6">
        <f>D7+D8+D9</f>
        <v>508400</v>
      </c>
    </row>
    <row r="7" spans="1:6">
      <c r="A7" t="s">
        <v>132</v>
      </c>
      <c r="B7">
        <v>150</v>
      </c>
      <c r="C7">
        <v>225</v>
      </c>
      <c r="D7">
        <f>SUMPRODUCT(B2:C2,B7:C7)</f>
        <v>354000</v>
      </c>
    </row>
    <row r="8" spans="1:6">
      <c r="A8" t="s">
        <v>135</v>
      </c>
      <c r="B8">
        <v>5</v>
      </c>
      <c r="C8">
        <v>6</v>
      </c>
      <c r="D8">
        <f>SUMPRODUCT(B2:C2,B8:C8)*E2</f>
        <v>110000</v>
      </c>
    </row>
    <row r="9" spans="1:6">
      <c r="A9" t="s">
        <v>136</v>
      </c>
      <c r="B9">
        <v>1</v>
      </c>
      <c r="C9">
        <v>2</v>
      </c>
      <c r="D9">
        <f>SUMPRODUCT(B2:C2,B9:C9)*F2</f>
        <v>44400</v>
      </c>
    </row>
    <row r="10" spans="1:6">
      <c r="A10" t="s">
        <v>67</v>
      </c>
      <c r="D10">
        <f>D5-D6</f>
        <v>199600</v>
      </c>
    </row>
    <row r="12" spans="1:6">
      <c r="A12" t="s">
        <v>125</v>
      </c>
      <c r="D12" t="s">
        <v>114</v>
      </c>
      <c r="E12" t="s">
        <v>116</v>
      </c>
      <c r="F12" t="s">
        <v>115</v>
      </c>
    </row>
    <row r="13" spans="1:6">
      <c r="A13" t="s">
        <v>128</v>
      </c>
      <c r="B13">
        <v>1</v>
      </c>
      <c r="D13">
        <f>SUMPRODUCT($B$2:$C$2,B13:C13)</f>
        <v>560</v>
      </c>
      <c r="E13" t="s">
        <v>117</v>
      </c>
      <c r="F13">
        <v>600</v>
      </c>
    </row>
    <row r="14" spans="1:6">
      <c r="A14" t="s">
        <v>129</v>
      </c>
      <c r="C14">
        <v>1</v>
      </c>
      <c r="D14">
        <f>SUMPRODUCT($B$2:$C$2,B14:C14)</f>
        <v>1200</v>
      </c>
      <c r="E14" t="s">
        <v>117</v>
      </c>
      <c r="F14">
        <v>1200</v>
      </c>
    </row>
    <row r="15" spans="1:6">
      <c r="A15" t="s">
        <v>133</v>
      </c>
      <c r="B15">
        <v>5</v>
      </c>
      <c r="C15">
        <v>6</v>
      </c>
      <c r="D15">
        <f t="shared" ref="D15:D16" si="0">SUMPRODUCT($B$2:$C$2,B15:C15)</f>
        <v>10000</v>
      </c>
      <c r="E15" t="s">
        <v>117</v>
      </c>
      <c r="F15">
        <v>10000</v>
      </c>
    </row>
    <row r="16" spans="1:6">
      <c r="A16" t="s">
        <v>134</v>
      </c>
      <c r="B16">
        <v>1</v>
      </c>
      <c r="C16">
        <v>2</v>
      </c>
      <c r="D16">
        <f t="shared" si="0"/>
        <v>2960</v>
      </c>
      <c r="E16" t="s">
        <v>117</v>
      </c>
      <c r="F16">
        <v>3000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54BBC-F957-4F2B-8C01-632BA829518A}">
  <dimension ref="A1:O26"/>
  <sheetViews>
    <sheetView workbookViewId="0">
      <selection activeCell="J20" sqref="J20"/>
    </sheetView>
  </sheetViews>
  <sheetFormatPr defaultRowHeight="14.4"/>
  <cols>
    <col min="1" max="1" width="20.88671875" customWidth="1"/>
    <col min="14" max="14" width="23.44140625" customWidth="1"/>
  </cols>
  <sheetData>
    <row r="1" spans="1:9">
      <c r="B1" t="s">
        <v>148</v>
      </c>
      <c r="C1" t="s">
        <v>149</v>
      </c>
      <c r="D1" t="s">
        <v>150</v>
      </c>
      <c r="E1" t="s">
        <v>151</v>
      </c>
      <c r="F1" t="s">
        <v>152</v>
      </c>
    </row>
    <row r="2" spans="1:9">
      <c r="A2" t="s">
        <v>108</v>
      </c>
      <c r="B2">
        <v>50000</v>
      </c>
      <c r="C2">
        <v>0</v>
      </c>
      <c r="D2">
        <v>0</v>
      </c>
      <c r="E2">
        <v>175000</v>
      </c>
      <c r="F2">
        <v>25000</v>
      </c>
    </row>
    <row r="3" spans="1:9">
      <c r="B3" s="41">
        <v>5.2999999999999999E-2</v>
      </c>
      <c r="C3" s="41">
        <v>6.8000000000000005E-2</v>
      </c>
      <c r="D3" s="41">
        <v>4.9000000000000002E-2</v>
      </c>
      <c r="E3" s="41">
        <v>8.4000000000000005E-2</v>
      </c>
      <c r="F3" s="41">
        <v>0.11799999999999999</v>
      </c>
    </row>
    <row r="5" spans="1:9">
      <c r="A5" t="s">
        <v>146</v>
      </c>
    </row>
    <row r="6" spans="1:9">
      <c r="A6" t="s">
        <v>145</v>
      </c>
      <c r="B6">
        <f>SUMPRODUCT(B2:F2,B3:F3)</f>
        <v>20300</v>
      </c>
    </row>
    <row r="13" spans="1:9">
      <c r="G13" t="s">
        <v>114</v>
      </c>
      <c r="H13" t="s">
        <v>116</v>
      </c>
      <c r="I13" t="s">
        <v>115</v>
      </c>
    </row>
    <row r="14" spans="1:9">
      <c r="A14" t="s">
        <v>147</v>
      </c>
    </row>
    <row r="15" spans="1:9">
      <c r="A15" t="s">
        <v>113</v>
      </c>
      <c r="B15">
        <v>1</v>
      </c>
      <c r="C15">
        <v>1</v>
      </c>
      <c r="D15">
        <v>1</v>
      </c>
      <c r="E15">
        <v>1</v>
      </c>
      <c r="F15">
        <v>1</v>
      </c>
      <c r="G15">
        <f>SUMPRODUCT($B$2:$F$2,B15:F15)</f>
        <v>250000</v>
      </c>
      <c r="H15" t="s">
        <v>117</v>
      </c>
      <c r="I15">
        <v>250000</v>
      </c>
    </row>
    <row r="16" spans="1:9">
      <c r="A16" t="s">
        <v>153</v>
      </c>
      <c r="B16">
        <v>1</v>
      </c>
      <c r="G16">
        <f t="shared" ref="G16:G18" si="0">SUMPRODUCT($B$2:$F$2,B16:F16)</f>
        <v>50000</v>
      </c>
      <c r="H16" t="s">
        <v>122</v>
      </c>
      <c r="I16">
        <f>20%*I15</f>
        <v>50000</v>
      </c>
    </row>
    <row r="17" spans="1:15">
      <c r="A17" t="s">
        <v>154</v>
      </c>
      <c r="C17">
        <v>1</v>
      </c>
      <c r="D17">
        <v>1</v>
      </c>
      <c r="E17">
        <v>1</v>
      </c>
      <c r="G17">
        <f t="shared" si="0"/>
        <v>175000</v>
      </c>
      <c r="H17" t="s">
        <v>122</v>
      </c>
      <c r="I17">
        <f>40%*I15</f>
        <v>100000</v>
      </c>
    </row>
    <row r="18" spans="1:15">
      <c r="A18" t="s">
        <v>155</v>
      </c>
      <c r="B18" s="21">
        <v>-0.5</v>
      </c>
      <c r="F18">
        <v>1</v>
      </c>
      <c r="G18">
        <f t="shared" si="0"/>
        <v>0</v>
      </c>
      <c r="H18" t="s">
        <v>117</v>
      </c>
      <c r="I18">
        <v>0</v>
      </c>
    </row>
    <row r="21" spans="1:15">
      <c r="N21" t="s">
        <v>138</v>
      </c>
      <c r="O21" t="s">
        <v>139</v>
      </c>
    </row>
    <row r="22" spans="1:15">
      <c r="N22" t="s">
        <v>140</v>
      </c>
      <c r="O22">
        <v>5.3</v>
      </c>
    </row>
    <row r="23" spans="1:15">
      <c r="N23" t="s">
        <v>141</v>
      </c>
      <c r="O23">
        <v>6.8</v>
      </c>
    </row>
    <row r="24" spans="1:15">
      <c r="N24" t="s">
        <v>142</v>
      </c>
      <c r="O24">
        <v>4.9000000000000004</v>
      </c>
    </row>
    <row r="25" spans="1:15">
      <c r="N25" t="s">
        <v>143</v>
      </c>
      <c r="O25">
        <v>8.4</v>
      </c>
    </row>
    <row r="26" spans="1:15">
      <c r="N26" t="s">
        <v>144</v>
      </c>
      <c r="O26">
        <v>11.8</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1FD42-A3D6-4E7F-8618-2BF1A5D33166}">
  <dimension ref="A4:Y27"/>
  <sheetViews>
    <sheetView tabSelected="1" topLeftCell="A8" workbookViewId="0">
      <selection activeCell="R7" sqref="R7"/>
    </sheetView>
  </sheetViews>
  <sheetFormatPr defaultRowHeight="14.4"/>
  <cols>
    <col min="1" max="1" width="16" customWidth="1"/>
    <col min="14" max="14" width="8" customWidth="1"/>
    <col min="15" max="15" width="16.21875" customWidth="1"/>
    <col min="16" max="16" width="14.109375" customWidth="1"/>
    <col min="17" max="17" width="12" customWidth="1"/>
    <col min="18" max="18" width="11.88671875" customWidth="1"/>
  </cols>
  <sheetData>
    <row r="4" spans="1:19">
      <c r="B4" t="s">
        <v>166</v>
      </c>
      <c r="C4" t="s">
        <v>167</v>
      </c>
      <c r="D4" t="s">
        <v>168</v>
      </c>
      <c r="E4" t="s">
        <v>169</v>
      </c>
      <c r="F4" t="s">
        <v>170</v>
      </c>
      <c r="G4" t="s">
        <v>171</v>
      </c>
      <c r="H4" t="s">
        <v>172</v>
      </c>
      <c r="I4" t="s">
        <v>173</v>
      </c>
      <c r="J4" t="s">
        <v>174</v>
      </c>
      <c r="K4" t="s">
        <v>175</v>
      </c>
      <c r="L4" t="s">
        <v>176</v>
      </c>
      <c r="M4" t="s">
        <v>177</v>
      </c>
      <c r="N4" t="s">
        <v>178</v>
      </c>
      <c r="O4" t="s">
        <v>179</v>
      </c>
      <c r="P4" t="s">
        <v>180</v>
      </c>
    </row>
    <row r="5" spans="1:19">
      <c r="A5" t="s">
        <v>108</v>
      </c>
      <c r="B5">
        <v>400</v>
      </c>
      <c r="C5">
        <v>0</v>
      </c>
      <c r="D5">
        <v>300</v>
      </c>
      <c r="E5">
        <v>500</v>
      </c>
      <c r="F5">
        <v>0</v>
      </c>
      <c r="G5">
        <v>0</v>
      </c>
      <c r="H5">
        <v>0</v>
      </c>
      <c r="I5">
        <v>100</v>
      </c>
      <c r="J5">
        <v>0</v>
      </c>
      <c r="K5">
        <v>0</v>
      </c>
      <c r="L5">
        <v>800</v>
      </c>
      <c r="M5">
        <v>0</v>
      </c>
      <c r="N5">
        <v>0</v>
      </c>
      <c r="O5">
        <v>0</v>
      </c>
      <c r="P5">
        <v>400</v>
      </c>
    </row>
    <row r="6" spans="1:19">
      <c r="B6">
        <v>5</v>
      </c>
      <c r="C6">
        <v>8</v>
      </c>
      <c r="D6">
        <v>6</v>
      </c>
      <c r="E6">
        <v>0</v>
      </c>
      <c r="F6">
        <v>4</v>
      </c>
      <c r="G6">
        <v>12</v>
      </c>
      <c r="H6">
        <v>4</v>
      </c>
      <c r="I6">
        <v>0</v>
      </c>
      <c r="J6">
        <v>7</v>
      </c>
      <c r="K6">
        <v>7</v>
      </c>
      <c r="L6">
        <v>2</v>
      </c>
      <c r="M6">
        <v>5</v>
      </c>
      <c r="N6">
        <v>12</v>
      </c>
      <c r="O6">
        <v>7</v>
      </c>
      <c r="P6">
        <v>0</v>
      </c>
    </row>
    <row r="8" spans="1:19">
      <c r="A8" t="s">
        <v>181</v>
      </c>
    </row>
    <row r="9" spans="1:19">
      <c r="A9" t="s">
        <v>182</v>
      </c>
      <c r="B9">
        <f>SUMPRODUCT($B$5:$P$5,B6:P6)</f>
        <v>5400</v>
      </c>
    </row>
    <row r="16" spans="1:19">
      <c r="A16" t="s">
        <v>147</v>
      </c>
      <c r="Q16" t="s">
        <v>114</v>
      </c>
      <c r="R16" t="s">
        <v>183</v>
      </c>
      <c r="S16" t="s">
        <v>115</v>
      </c>
    </row>
    <row r="17" spans="1:25">
      <c r="A17" t="s">
        <v>184</v>
      </c>
      <c r="B17">
        <v>1</v>
      </c>
      <c r="E17">
        <v>1</v>
      </c>
      <c r="H17">
        <v>1</v>
      </c>
      <c r="K17">
        <v>1</v>
      </c>
      <c r="N17">
        <v>1</v>
      </c>
      <c r="Q17">
        <f>SUMPRODUCT($B$5:$P$5,B17:P17)</f>
        <v>900</v>
      </c>
      <c r="R17" t="s">
        <v>117</v>
      </c>
      <c r="S17">
        <v>900</v>
      </c>
    </row>
    <row r="18" spans="1:25">
      <c r="A18" t="s">
        <v>185</v>
      </c>
      <c r="C18">
        <v>1</v>
      </c>
      <c r="F18">
        <v>1</v>
      </c>
      <c r="I18">
        <v>1</v>
      </c>
      <c r="L18">
        <v>1</v>
      </c>
      <c r="O18">
        <v>1</v>
      </c>
      <c r="Q18">
        <f t="shared" ref="Q18:Q24" si="0">SUMPRODUCT($B$5:$P$5,B18:P18)</f>
        <v>900</v>
      </c>
      <c r="R18" t="s">
        <v>117</v>
      </c>
      <c r="S18">
        <v>900</v>
      </c>
    </row>
    <row r="19" spans="1:25">
      <c r="A19" t="s">
        <v>186</v>
      </c>
      <c r="D19">
        <v>1</v>
      </c>
      <c r="G19">
        <v>1</v>
      </c>
      <c r="J19">
        <v>1</v>
      </c>
      <c r="M19">
        <v>1</v>
      </c>
      <c r="P19">
        <v>1</v>
      </c>
      <c r="Q19">
        <f t="shared" si="0"/>
        <v>700</v>
      </c>
      <c r="R19" t="s">
        <v>117</v>
      </c>
      <c r="S19">
        <v>900</v>
      </c>
    </row>
    <row r="20" spans="1:25">
      <c r="A20" t="s">
        <v>187</v>
      </c>
      <c r="B20">
        <v>1</v>
      </c>
      <c r="C20">
        <v>1</v>
      </c>
      <c r="D20">
        <v>1</v>
      </c>
      <c r="Q20">
        <f t="shared" si="0"/>
        <v>700</v>
      </c>
      <c r="R20" t="s">
        <v>192</v>
      </c>
      <c r="S20">
        <v>700</v>
      </c>
    </row>
    <row r="21" spans="1:25">
      <c r="A21" t="s">
        <v>188</v>
      </c>
      <c r="E21">
        <v>1</v>
      </c>
      <c r="F21">
        <v>1</v>
      </c>
      <c r="G21">
        <v>1</v>
      </c>
      <c r="Q21">
        <f t="shared" si="0"/>
        <v>500</v>
      </c>
      <c r="R21" t="s">
        <v>192</v>
      </c>
      <c r="S21">
        <v>500</v>
      </c>
    </row>
    <row r="22" spans="1:25">
      <c r="A22" t="s">
        <v>189</v>
      </c>
      <c r="H22">
        <v>1</v>
      </c>
      <c r="I22">
        <v>1</v>
      </c>
      <c r="J22">
        <v>1</v>
      </c>
      <c r="Q22">
        <f t="shared" si="0"/>
        <v>100</v>
      </c>
      <c r="R22" t="s">
        <v>192</v>
      </c>
      <c r="S22">
        <v>100</v>
      </c>
      <c r="U22" t="s">
        <v>156</v>
      </c>
      <c r="V22" t="s">
        <v>157</v>
      </c>
      <c r="W22" t="s">
        <v>158</v>
      </c>
      <c r="X22" t="s">
        <v>159</v>
      </c>
      <c r="Y22" t="s">
        <v>160</v>
      </c>
    </row>
    <row r="23" spans="1:25">
      <c r="A23" t="s">
        <v>190</v>
      </c>
      <c r="K23">
        <v>1</v>
      </c>
      <c r="L23">
        <v>1</v>
      </c>
      <c r="M23">
        <v>1</v>
      </c>
      <c r="Q23">
        <f t="shared" si="0"/>
        <v>800</v>
      </c>
      <c r="R23" t="s">
        <v>192</v>
      </c>
      <c r="S23">
        <v>800</v>
      </c>
      <c r="U23" t="s">
        <v>161</v>
      </c>
      <c r="V23">
        <v>5</v>
      </c>
      <c r="W23">
        <v>8</v>
      </c>
      <c r="X23">
        <v>6</v>
      </c>
      <c r="Y23">
        <v>700</v>
      </c>
    </row>
    <row r="24" spans="1:25">
      <c r="A24" t="s">
        <v>191</v>
      </c>
      <c r="N24">
        <v>1</v>
      </c>
      <c r="O24">
        <v>1</v>
      </c>
      <c r="P24">
        <v>1</v>
      </c>
      <c r="Q24">
        <f t="shared" si="0"/>
        <v>400</v>
      </c>
      <c r="R24" t="s">
        <v>192</v>
      </c>
      <c r="S24">
        <v>400</v>
      </c>
      <c r="U24" t="s">
        <v>162</v>
      </c>
      <c r="V24">
        <v>0</v>
      </c>
      <c r="W24">
        <v>4</v>
      </c>
      <c r="X24">
        <v>12</v>
      </c>
      <c r="Y24">
        <v>500</v>
      </c>
    </row>
    <row r="25" spans="1:25">
      <c r="U25" t="s">
        <v>163</v>
      </c>
      <c r="V25">
        <v>4</v>
      </c>
      <c r="W25">
        <v>0</v>
      </c>
      <c r="X25">
        <v>7</v>
      </c>
      <c r="Y25">
        <v>100</v>
      </c>
    </row>
    <row r="26" spans="1:25">
      <c r="U26" t="s">
        <v>164</v>
      </c>
      <c r="V26">
        <v>7</v>
      </c>
      <c r="W26">
        <v>2</v>
      </c>
      <c r="X26">
        <v>5</v>
      </c>
      <c r="Y26">
        <v>800</v>
      </c>
    </row>
    <row r="27" spans="1:25">
      <c r="U27" t="s">
        <v>165</v>
      </c>
      <c r="V27">
        <v>12</v>
      </c>
      <c r="W27">
        <v>7</v>
      </c>
      <c r="X27">
        <v>0</v>
      </c>
      <c r="Y27">
        <v>400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Sheet6</vt:lpstr>
      <vt:lpstr>Sheet7</vt:lpstr>
      <vt:lpstr>Sheet8</vt:lpstr>
      <vt:lpstr>Sheet9</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junior owusu</dc:creator>
  <cp:lastModifiedBy>junior owusu</cp:lastModifiedBy>
  <dcterms:created xsi:type="dcterms:W3CDTF">2024-06-22T01:09:38Z</dcterms:created>
  <dcterms:modified xsi:type="dcterms:W3CDTF">2024-07-23T05:49:55Z</dcterms:modified>
</cp:coreProperties>
</file>